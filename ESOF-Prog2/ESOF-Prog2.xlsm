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0" firstSheet="0" showHorizontalScroll="true" showSheetTabs="true" showVerticalScroll="true" tabRatio="600" windowHeight="8192" windowWidth="16384" xWindow="0" yWindow="0"/>
  </bookViews>
  <sheets>
    <sheet name="Summary" sheetId="1" state="visible" r:id="rId2"/>
    <sheet name="TimeLog" sheetId="2" state="visible" r:id="rId3"/>
    <sheet name="DefectLog" sheetId="3" state="visible" r:id="rId4"/>
    <sheet name="SizeEstimatingTemplate" sheetId="4" state="visible" r:id="rId5"/>
    <sheet name="RelativeSizeTable" sheetId="5" state="visible" r:id="rId6"/>
  </sheets>
  <definedNames>
    <definedName function="false" hidden="false" name="__shared_2_0_0" vbProcedure="false">IF(AND(#REF!&lt;&gt;"",#REF!&lt;&gt;""),(#REF!-#REF!)*24*60-#REF!,"")))))</definedName>
    <definedName function="false" hidden="false" name="__shared_2_0_1" vbProcedure="false">IF(AND(#REF!&lt;&gt;"",#REF!&lt;&gt;""),(#REF!-#REF!)*24*60-#REF!,"")))))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<sst xmlns="http://schemas.openxmlformats.org/spreadsheetml/2006/main" count="129" uniqueCount="90">
  <si>
    <t>Student(s)</t>
  </si>
  <si>
    <t>João Carvalho | Miguel Rossi Seabra</t>
  </si>
  <si>
    <t>Class</t>
  </si>
  <si>
    <t>3MIEIC2</t>
  </si>
  <si>
    <t>Program</t>
  </si>
  <si>
    <t>Program 2 - Linear regression</t>
  </si>
  <si>
    <t>Programming Language</t>
  </si>
  <si>
    <t>Java</t>
  </si>
  <si>
    <t>Instructor</t>
  </si>
  <si>
    <t>ACP</t>
  </si>
  <si>
    <t>Start Date</t>
  </si>
  <si>
    <t>End Date</t>
  </si>
  <si>
    <t>Parameter</t>
  </si>
  <si>
    <t>Estimated Value</t>
  </si>
  <si>
    <t>Actual Value</t>
  </si>
  <si>
    <t>Added and Modified Size (LOC)</t>
  </si>
  <si>
    <t>Time (minutes)</t>
  </si>
  <si>
    <t>Productivity (LOC/Hour)</t>
  </si>
  <si>
    <t>Phase</t>
  </si>
  <si>
    <t>Time in Phase (min.)</t>
  </si>
  <si>
    <t>Defects Injected</t>
  </si>
  <si>
    <t>Defects Removed</t>
  </si>
  <si>
    <t>PLAN</t>
  </si>
  <si>
    <t>DLD</t>
  </si>
  <si>
    <t>CODE</t>
  </si>
  <si>
    <t>UT</t>
  </si>
  <si>
    <t>PM</t>
  </si>
  <si>
    <t>Total</t>
  </si>
  <si>
    <t>Start Date and Time
(double click to fill)</t>
  </si>
  <si>
    <t>Interrup. Time
(minutes)</t>
  </si>
  <si>
    <t>Stop Date and Time
(double click to fill)</t>
  </si>
  <si>
    <t>Delta Time
(minutes)</t>
  </si>
  <si>
    <t>Comments</t>
  </si>
  <si>
    <t>LPI E UPI</t>
  </si>
  <si>
    <t>Number</t>
  </si>
  <si>
    <t>Date
 (double click to fill)</t>
  </si>
  <si>
    <t>Type</t>
  </si>
  <si>
    <t>Phase Injected</t>
  </si>
  <si>
    <t>Phase Removed</t>
  </si>
  <si>
    <t>Fix Time
(min.)</t>
  </si>
  <si>
    <t>Description</t>
  </si>
  <si>
    <t>New Parts</t>
  </si>
  <si>
    <t>Base/Reused Parts</t>
  </si>
  <si>
    <t>Part name
(class or part of class)</t>
  </si>
  <si>
    <t>Part type</t>
  </si>
  <si>
    <t>Num. Items (methods)</t>
  </si>
  <si>
    <t>Items' relative size</t>
  </si>
  <si>
    <t>Estimated part size (LOC)</t>
  </si>
  <si>
    <t>Actual size (LOC)</t>
  </si>
  <si>
    <t>Part name
(class / file)</t>
  </si>
  <si>
    <t>Initial size (LOC)</t>
  </si>
  <si>
    <t>Estimated added and modified size (LOC)</t>
  </si>
  <si>
    <t>Actual added and modified size (LOC)</t>
  </si>
  <si>
    <t>Final size (LOC)</t>
  </si>
  <si>
    <t>TStudentDistribution</t>
  </si>
  <si>
    <t>Function.java</t>
  </si>
  <si>
    <t>Constructor</t>
  </si>
  <si>
    <t>Data</t>
  </si>
  <si>
    <t>XS</t>
  </si>
  <si>
    <t>GammaFunction.java</t>
  </si>
  <si>
    <t>CalcProbabilityDensity</t>
  </si>
  <si>
    <t>Calc</t>
  </si>
  <si>
    <t>L</t>
  </si>
  <si>
    <t>NewtonRapsonMethod.java</t>
  </si>
  <si>
    <t>CacPGivenX, CalcXGivenP</t>
  </si>
  <si>
    <t>M</t>
  </si>
  <si>
    <t>SimpsonMethod.java</t>
  </si>
  <si>
    <t>LinearRegression</t>
  </si>
  <si>
    <t>S</t>
  </si>
  <si>
    <t>CalcB0</t>
  </si>
  <si>
    <t>CalcB1</t>
  </si>
  <si>
    <t>CalcR</t>
  </si>
  <si>
    <t>Calcyk</t>
  </si>
  <si>
    <t>Significance</t>
  </si>
  <si>
    <t>XL</t>
  </si>
  <si>
    <t>Main</t>
  </si>
  <si>
    <t>GetData</t>
  </si>
  <si>
    <t>IO</t>
  </si>
  <si>
    <t>PrintData</t>
  </si>
  <si>
    <t>Part type
(class type)</t>
  </si>
  <si>
    <t>Item size (method size)</t>
  </si>
  <si>
    <t>Calculation object (maths, etc.)</t>
  </si>
  <si>
    <t>Data object (data storage and access)</t>
  </si>
  <si>
    <t>IO object (user interface, file access)</t>
  </si>
  <si>
    <t>Logic</t>
  </si>
  <si>
    <t>Logic object (algorithms, etc.)</t>
  </si>
  <si>
    <t>Set-up</t>
  </si>
  <si>
    <t>Set-up object</t>
  </si>
  <si>
    <t>Text</t>
  </si>
  <si>
    <t>Text object (string/text processing)</t>
  </si>
</sst>
</file>

<file path=xl/styles.xml><?xml version="1.0" encoding="utf-8"?>
<styleSheet xmlns="http://schemas.openxmlformats.org/spreadsheetml/2006/main">
  <numFmts count="6">
    <numFmt formatCode="GENERAL" numFmtId="164"/>
    <numFmt formatCode="DD/MM/YYYY" numFmtId="165"/>
    <numFmt formatCode="0.0" numFmtId="166"/>
    <numFmt formatCode="0" numFmtId="167"/>
    <numFmt formatCode="D/M/YY\ H:MM:SS;@" numFmtId="168"/>
    <numFmt formatCode="0.00" numFmtId="169"/>
  </numFmts>
  <fonts count="10">
    <font>
      <name val="Calibri"/>
      <family val="2"/>
      <color rgb="00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Times New Roman"/>
      <family val="1"/>
      <b val="true"/>
      <color rgb="00000000"/>
      <sz val="10"/>
    </font>
    <font>
      <name val="Times New Roman"/>
      <family val="1"/>
      <color rgb="00000000"/>
      <sz val="10"/>
    </font>
    <font>
      <name val="Calibri"/>
      <family val="2"/>
      <b val="true"/>
      <color rgb="00000000"/>
      <sz val="12"/>
    </font>
    <font>
      <name val="Calibri"/>
      <family val="2"/>
      <color rgb="00000000"/>
      <sz val="12"/>
    </font>
    <font>
      <name val="MS Sans Serif"/>
      <family val="2"/>
      <b val="true"/>
      <sz val="10"/>
    </font>
    <font>
      <name val="Calibri"/>
      <family val="2"/>
      <b val="true"/>
      <color rgb="00000000"/>
      <sz val="11"/>
    </font>
  </fonts>
  <fills count="6">
    <fill>
      <patternFill patternType="none"/>
    </fill>
    <fill>
      <patternFill patternType="gray125"/>
    </fill>
    <fill>
      <patternFill patternType="solid">
        <fgColor rgb="00D9D9D9"/>
        <bgColor rgb="00BFBFBF"/>
      </patternFill>
    </fill>
    <fill>
      <patternFill patternType="solid">
        <fgColor rgb="00FFFFFF"/>
        <bgColor rgb="00FFFFCC"/>
      </patternFill>
    </fill>
    <fill>
      <patternFill patternType="solid">
        <fgColor rgb="00FFFFCC"/>
        <bgColor rgb="00FFFFFF"/>
      </patternFill>
    </fill>
    <fill>
      <patternFill patternType="solid">
        <fgColor rgb="00BFBFBF"/>
        <bgColor rgb="00D9D9D9"/>
      </patternFill>
    </fill>
  </fills>
  <borders count="25">
    <border diagonalDown="false" diagonalUp="false">
      <left/>
      <right/>
      <top/>
      <bottom/>
      <diagonal/>
    </border>
    <border diagonalDown="false" diagonalUp="false">
      <left style="thin"/>
      <right/>
      <top style="thin"/>
      <bottom style="thin"/>
      <diagonal/>
    </border>
    <border diagonalDown="false" diagonalUp="false">
      <left style="thin"/>
      <right style="thin"/>
      <top style="thin"/>
      <bottom style="thin"/>
      <diagonal/>
    </border>
    <border diagonalDown="false" diagonalUp="false">
      <left style="medium"/>
      <right style="thin"/>
      <top style="medium"/>
      <bottom style="thin"/>
      <diagonal/>
    </border>
    <border diagonalDown="false" diagonalUp="false">
      <left style="thin"/>
      <right style="thin"/>
      <top style="medium"/>
      <bottom style="thin"/>
      <diagonal/>
    </border>
    <border diagonalDown="false" diagonalUp="false">
      <left style="thin"/>
      <right style="medium"/>
      <top style="medium"/>
      <bottom style="thin"/>
      <diagonal/>
    </border>
    <border diagonalDown="false" diagonalUp="false">
      <left style="medium"/>
      <right style="thin"/>
      <top style="thin"/>
      <bottom style="thin"/>
      <diagonal/>
    </border>
    <border diagonalDown="false" diagonalUp="false">
      <left style="thin"/>
      <right style="medium"/>
      <top style="thin"/>
      <bottom style="thin"/>
      <diagonal/>
    </border>
    <border diagonalDown="false" diagonalUp="false">
      <left style="medium"/>
      <right style="thin"/>
      <top style="thin"/>
      <bottom style="medium"/>
      <diagonal/>
    </border>
    <border diagonalDown="false" diagonalUp="false">
      <left style="thin"/>
      <right style="thin"/>
      <top style="thin"/>
      <bottom style="medium"/>
      <diagonal/>
    </border>
    <border diagonalDown="false" diagonalUp="false">
      <left style="thin"/>
      <right style="medium"/>
      <top style="thin"/>
      <bottom style="medium"/>
      <diagonal/>
    </border>
    <border diagonalDown="false" diagonalUp="false">
      <left style="medium"/>
      <right/>
      <top style="medium"/>
      <bottom style="medium"/>
      <diagonal/>
    </border>
    <border diagonalDown="false" diagonalUp="false">
      <left/>
      <right style="medium"/>
      <top style="medium"/>
      <bottom style="medium"/>
      <diagonal/>
    </border>
    <border diagonalDown="false" diagonalUp="false">
      <left style="medium"/>
      <right style="thin"/>
      <top style="medium"/>
      <bottom style="medium"/>
      <diagonal/>
    </border>
    <border diagonalDown="false" diagonalUp="false">
      <left style="thin"/>
      <right style="medium"/>
      <top style="medium"/>
      <bottom style="medium"/>
      <diagonal/>
    </border>
    <border diagonalDown="false" diagonalUp="false">
      <left style="medium"/>
      <right/>
      <top/>
      <bottom style="thin"/>
      <diagonal/>
    </border>
    <border diagonalDown="false" diagonalUp="false">
      <left/>
      <right style="medium"/>
      <top/>
      <bottom style="thin"/>
      <diagonal/>
    </border>
    <border diagonalDown="false" diagonalUp="false">
      <left style="medium"/>
      <right style="thin"/>
      <top/>
      <bottom style="thin"/>
      <diagonal/>
    </border>
    <border diagonalDown="false" diagonalUp="false">
      <left style="thin"/>
      <right style="medium"/>
      <top/>
      <bottom style="thin"/>
      <diagonal/>
    </border>
    <border diagonalDown="false" diagonalUp="false">
      <left style="medium"/>
      <right/>
      <top style="thin"/>
      <bottom style="thin"/>
      <diagonal/>
    </border>
    <border diagonalDown="false" diagonalUp="false">
      <left/>
      <right style="medium"/>
      <top style="thin"/>
      <bottom style="thin"/>
      <diagonal/>
    </border>
    <border diagonalDown="false" diagonalUp="false">
      <left style="medium"/>
      <right/>
      <top style="thin"/>
      <bottom/>
      <diagonal/>
    </border>
    <border diagonalDown="false" diagonalUp="false">
      <left/>
      <right style="medium"/>
      <top style="thin"/>
      <bottom/>
      <diagonal/>
    </border>
    <border diagonalDown="false" diagonalUp="false">
      <left style="medium"/>
      <right style="thin"/>
      <top style="thin"/>
      <bottom/>
      <diagonal/>
    </border>
    <border diagonalDown="false" diagonalUp="false">
      <left style="thin"/>
      <right style="medium"/>
      <top style="thin"/>
      <bottom/>
      <diagonal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73">
    <xf applyAlignment="false" applyBorder="false" applyFont="false" applyProtection="false" borderId="0" fillId="0" fontId="0" numFmtId="164" xfId="0"/>
    <xf applyAlignment="true" applyBorder="false" applyFont="false" applyProtection="false" borderId="0" fillId="0" fontId="0" numFmtId="164" xfId="0">
      <alignment horizontal="center" indent="0" shrinkToFit="false" textRotation="0" vertical="bottom" wrapText="false"/>
    </xf>
    <xf applyAlignment="true" applyBorder="true" applyFont="true" applyProtection="false" borderId="1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0" fontId="5" numFmtId="164" xfId="0">
      <alignment horizontal="left" indent="0" shrinkToFit="false" textRotation="0" vertical="center" wrapText="true"/>
      <protection hidden="false" locked="false"/>
    </xf>
    <xf applyAlignment="true" applyBorder="fals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4" numFmtId="164" xfId="0">
      <alignment horizontal="justify" indent="0" shrinkToFit="false" textRotation="0" vertical="center" wrapText="true"/>
    </xf>
    <xf applyAlignment="true" applyBorder="true" applyFont="true" applyProtection="true" borderId="2" fillId="0" fontId="5" numFmtId="165" xfId="0">
      <alignment horizontal="left" indent="0" shrinkToFit="false" textRotation="0" vertical="center" wrapText="true"/>
      <protection hidden="false" locked="false"/>
    </xf>
    <xf applyAlignment="true" applyBorder="false" applyFont="true" applyProtection="false" borderId="0" fillId="0" fontId="5" numFmtId="164" xfId="0">
      <alignment horizontal="justify" indent="0" shrinkToFit="false" textRotation="0" vertical="center" wrapText="true"/>
    </xf>
    <xf applyAlignment="true" applyBorder="true" applyFont="true" applyProtection="false" borderId="0" fillId="0" fontId="5" numFmtId="164" xfId="0">
      <alignment horizontal="justify" indent="0" shrinkToFit="false" textRotation="0" vertical="center" wrapText="true"/>
    </xf>
    <xf applyAlignment="false" applyBorder="true" applyFont="false" applyProtection="false" borderId="0" fillId="0" fontId="0" numFmtId="164" xfId="0"/>
    <xf applyAlignment="true" applyBorder="true" applyFont="true" applyProtection="false" borderId="0" fillId="0" fontId="4" numFmtId="164" xfId="0">
      <alignment horizontal="justify" indent="0" shrinkToFit="false" textRotation="0" vertical="center" wrapText="true"/>
    </xf>
    <xf applyAlignment="true" applyBorder="true" applyFont="true" applyProtection="true" borderId="0" fillId="0" fontId="5" numFmtId="165" xfId="0">
      <alignment horizontal="left" indent="0" shrinkToFit="false" textRotation="0" vertical="center" wrapText="true"/>
      <protection hidden="false" locked="false"/>
    </xf>
    <xf applyAlignment="true" applyBorder="true" applyFont="true" applyProtection="false" borderId="0" fillId="0" fontId="5" numFmtId="164" xfId="0">
      <alignment horizontal="general" indent="0" shrinkToFit="false" textRotation="0" vertical="center" wrapText="true"/>
    </xf>
    <xf applyAlignment="true" applyBorder="true" applyFont="false" applyProtection="false" borderId="0" fillId="0" fontId="0" numFmtId="164" xfId="0">
      <alignment horizontal="general" indent="0" shrinkToFit="false" textRotation="0" vertical="center" wrapText="false"/>
    </xf>
    <xf applyAlignment="true" applyBorder="true" applyFont="false" applyProtection="false" borderId="0" fillId="3" fontId="0" numFmtId="164" xfId="0">
      <alignment horizontal="general" indent="0" shrinkToFit="false" textRotation="0" vertical="center" wrapText="false"/>
    </xf>
    <xf applyAlignment="true" applyBorder="true" applyFont="true" applyProtection="true" borderId="0" fillId="0" fontId="5" numFmtId="164" xfId="0">
      <alignment horizontal="left" indent="0" shrinkToFit="false" textRotation="0" vertical="center" wrapText="true"/>
      <protection hidden="false" locked="false"/>
    </xf>
    <xf applyAlignment="true" applyBorder="true" applyFont="true" applyProtection="false" borderId="3" fillId="2" fontId="4" numFmtId="164" xfId="0">
      <alignment horizontal="left" indent="0" shrinkToFit="false" textRotation="0" vertical="center" wrapText="true"/>
    </xf>
    <xf applyAlignment="true" applyBorder="true" applyFont="true" applyProtection="false" borderId="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5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0" fillId="3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6" xfId="0">
      <alignment horizontal="center" indent="0" shrinkToFit="false" textRotation="0" vertical="center" wrapText="false"/>
    </xf>
    <xf applyAlignment="true" applyBorder="true" applyFont="true" applyProtection="false" borderId="6" fillId="2" fontId="4" numFmtId="164" xfId="0">
      <alignment horizontal="left" indent="0" shrinkToFit="false" textRotation="0" vertical="center" wrapText="true"/>
    </xf>
    <xf applyAlignment="true" applyBorder="true" applyFont="true" applyProtection="true" borderId="2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true" borderId="7" fillId="4" fontId="5" numFmtId="167" xfId="0">
      <alignment horizontal="center" indent="0" shrinkToFit="false" textRotation="0" vertical="center" wrapText="true"/>
      <protection hidden="false" locked="true"/>
    </xf>
    <xf applyAlignment="true" applyBorder="true" applyFont="true" applyProtection="false" borderId="0" fillId="3" fontId="5" numFmtId="164" xfId="0">
      <alignment horizontal="center" indent="0" shrinkToFit="false" textRotation="0" vertical="center" wrapText="false"/>
    </xf>
    <xf applyAlignment="true" applyBorder="true" applyFont="true" applyProtection="false" borderId="7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8" fillId="2" fontId="4" numFmtId="164" xfId="0">
      <alignment horizontal="left" indent="0" shrinkToFit="false" textRotation="0" vertical="center" wrapText="true"/>
    </xf>
    <xf applyAlignment="true" applyBorder="true" applyFont="true" applyProtection="true" borderId="9" fillId="0" fontId="5" numFmtId="166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0" fillId="4" fontId="5" numFmtId="166" xfId="0">
      <alignment horizontal="center" indent="0" shrinkToFit="false" textRotation="0" vertical="center" wrapText="false"/>
    </xf>
    <xf applyAlignment="true" applyBorder="true" applyFont="true" applyProtection="false" borderId="0" fillId="3" fontId="5" numFmtId="166" xfId="0">
      <alignment horizontal="center" indent="0" shrinkToFit="false" textRotation="0" vertical="center" wrapText="false"/>
    </xf>
    <xf applyAlignment="true" applyBorder="true" applyFont="true" applyProtection="false" borderId="11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2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3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5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16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16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1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8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9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0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0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6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7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1" fillId="2" fontId="4" numFmtId="164" xfId="0">
      <alignment horizontal="justify" indent="0" shrinkToFit="false" textRotation="0" vertical="center" wrapText="true"/>
    </xf>
    <xf applyAlignment="true" applyBorder="true" applyFont="true" applyProtection="false" borderId="22" fillId="2" fontId="5" numFmtId="164" xfId="0">
      <alignment horizontal="justify" indent="0" shrinkToFit="false" textRotation="0" vertical="center" wrapText="true"/>
    </xf>
    <xf applyAlignment="true" applyBorder="true" applyFont="true" applyProtection="false" borderId="22" fillId="4" fontId="5" numFmtId="167" xfId="0">
      <alignment horizontal="center" indent="0" shrinkToFit="false" textRotation="0" vertical="center" wrapText="true"/>
    </xf>
    <xf applyAlignment="true" applyBorder="true" applyFont="true" applyProtection="false" borderId="23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24" fillId="4" fontId="5" numFmtId="164" xfId="0">
      <alignment horizontal="center" indent="0" shrinkToFit="false" textRotation="0" vertical="center" wrapText="true"/>
    </xf>
    <xf applyAlignment="true" applyBorder="true" applyFont="true" applyProtection="false" borderId="12" fillId="4" fontId="4" numFmtId="167" xfId="0">
      <alignment horizontal="center" indent="0" shrinkToFit="false" textRotation="0" vertical="center" wrapText="true"/>
    </xf>
    <xf applyAlignment="true" applyBorder="true" applyFont="true" applyProtection="false" borderId="13" fillId="4" fontId="4" numFmtId="164" xfId="0">
      <alignment horizontal="center" indent="0" shrinkToFit="false" textRotation="0" vertical="center" wrapText="true"/>
    </xf>
    <xf applyAlignment="true" applyBorder="true" applyFont="true" applyProtection="false" borderId="14" fillId="4" fontId="4" numFmtId="164" xfId="0">
      <alignment horizontal="center" indent="0" shrinkToFit="false" textRotation="0" vertical="center" wrapText="true"/>
    </xf>
    <xf applyAlignment="true" applyBorder="true" applyFont="false" applyProtection="false" borderId="0" fillId="0" fontId="0" numFmtId="164" xfId="0">
      <alignment horizontal="center" indent="0" shrinkToFit="false" textRotation="0" vertical="center" wrapText="false"/>
    </xf>
    <xf applyAlignment="true" applyBorder="true" applyFont="true" applyProtection="false" borderId="2" fillId="2" fontId="4" numFmtId="164" xfId="0">
      <alignment horizontal="center" indent="0" shrinkToFit="false" textRotation="0" vertical="top" wrapText="true"/>
    </xf>
    <xf applyAlignment="true" applyBorder="true" applyFont="true" applyProtection="true" borderId="2" fillId="0" fontId="5" numFmtId="164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8" xfId="0">
      <alignment horizontal="center" indent="0" shrinkToFit="false" textRotation="0" vertical="center" wrapText="true"/>
      <protection hidden="false" locked="false"/>
    </xf>
    <xf applyAlignment="true" applyBorder="true" applyFont="true" applyProtection="true" borderId="2" fillId="0" fontId="5" numFmtId="166" xfId="0">
      <alignment horizontal="center" indent="0" shrinkToFit="false" textRotation="0" vertical="center" wrapText="true"/>
      <protection hidden="false" locked="false"/>
    </xf>
    <xf applyAlignment="true" applyBorder="true" applyFont="true" applyProtection="false" borderId="2" fillId="4" fontId="5" numFmtId="166" xfId="0">
      <alignment horizontal="center" indent="0" shrinkToFit="false" textRotation="0" vertical="center" wrapText="true"/>
    </xf>
    <xf applyAlignment="true" applyBorder="true" applyFont="true" applyProtection="true" borderId="2" fillId="0" fontId="5" numFmtId="164" xfId="0">
      <alignment horizontal="general" indent="0" shrinkToFit="false" textRotation="0" vertical="center" wrapText="true"/>
      <protection hidden="false" locked="false"/>
    </xf>
    <xf applyAlignment="true" applyBorder="true" applyFont="true" applyProtection="false" borderId="2" fillId="5" fontId="6" numFmtId="164" xfId="0">
      <alignment horizontal="center" indent="0" shrinkToFit="false" textRotation="0" vertical="center" wrapText="false"/>
    </xf>
    <xf applyAlignment="true" applyBorder="false" applyFont="true" applyProtection="false" borderId="0" fillId="0" fontId="7" numFmtId="164" xfId="0">
      <alignment horizontal="general" indent="0" shrinkToFit="false" textRotation="0" vertical="center" wrapText="false"/>
    </xf>
    <xf applyAlignment="true" applyBorder="true" applyFont="true" applyProtection="false" borderId="2" fillId="2" fontId="8" numFmtId="164" xfId="0">
      <alignment horizontal="center" indent="0" shrinkToFit="false" textRotation="0" vertical="center" wrapText="true"/>
    </xf>
    <xf applyAlignment="true" applyBorder="true" applyFont="true" applyProtection="true" borderId="2" fillId="0" fontId="0" numFmtId="164" xfId="0">
      <alignment horizontal="left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4" xfId="0">
      <alignment horizontal="center" indent="0" shrinkToFit="false" textRotation="0" vertical="center" wrapText="false"/>
      <protection hidden="false" locked="false"/>
    </xf>
    <xf applyAlignment="true" applyBorder="true" applyFont="false" applyProtection="true" borderId="2" fillId="0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false" applyProtection="false" borderId="2" fillId="4" fontId="0" numFmtId="169" xfId="0">
      <alignment horizontal="center" indent="0" shrinkToFit="false" textRotation="0" vertical="center" wrapText="false"/>
    </xf>
    <xf applyAlignment="true" applyBorder="true" applyFont="false" applyProtection="true" borderId="2" fillId="3" fontId="0" numFmtId="167" xfId="0">
      <alignment horizontal="center" indent="0" shrinkToFit="false" textRotation="0" vertical="center" wrapText="false"/>
      <protection hidden="false" locked="false"/>
    </xf>
    <xf applyAlignment="true" applyBorder="true" applyFont="true" applyProtection="false" borderId="1" fillId="2" fontId="8" numFmtId="164" xfId="0">
      <alignment horizontal="left" indent="0" shrinkToFit="false" textRotation="0" vertical="center" wrapText="false"/>
    </xf>
    <xf applyAlignment="true" applyBorder="true" applyFont="true" applyProtection="false" borderId="2" fillId="4" fontId="8" numFmtId="167" xfId="0">
      <alignment horizontal="center" indent="0" shrinkToFit="false" textRotation="0" vertical="center" wrapText="false"/>
    </xf>
    <xf applyAlignment="true" applyBorder="true" applyFont="true" applyProtection="false" borderId="2" fillId="2" fontId="9" numFmtId="164" xfId="0">
      <alignment horizontal="left" indent="0" shrinkToFit="false" textRotation="0" vertical="center" wrapText="false"/>
    </xf>
    <xf applyAlignment="true" applyBorder="true" applyFont="true" applyProtection="false" borderId="2" fillId="4" fontId="9" numFmtId="167" xfId="0">
      <alignment horizontal="center" indent="0" shrinkToFit="false" textRotation="0" vertical="center" wrapText="false"/>
    </xf>
    <xf applyAlignment="true" applyBorder="true" applyFont="true" applyProtection="false" borderId="2" fillId="4" fontId="0" numFmtId="164" xfId="0">
      <alignment horizontal="general" indent="0" shrinkToFit="false" textRotation="0" vertical="center" wrapText="true"/>
    </xf>
    <xf applyAlignment="true" applyBorder="true" applyFont="false" applyProtection="false" borderId="2" fillId="4" fontId="0" numFmtId="169" xfId="0">
      <alignment horizontal="right" indent="0" shrinkToFit="false" textRotation="0" vertical="center" wrapText="true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FBFB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I19"/>
  <sheetViews>
    <sheetView colorId="64" defaultGridColor="true" rightToLeft="false" showFormulas="false" showGridLines="true" showOutlineSymbols="true" showRowColHeaders="true" showZeros="true" tabSelected="tru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3.6156862745098"/>
    <col collapsed="false" hidden="false" max="2" min="2" style="0" width="7.23529411764706"/>
    <col collapsed="false" hidden="false" max="3" min="3" style="0" width="19.9647058823529"/>
    <col collapsed="false" hidden="false" max="6" min="4" style="0" width="18.9450980392157"/>
    <col collapsed="false" hidden="false" max="7" min="7" style="1" width="21.6901960784314"/>
    <col collapsed="false" hidden="false" max="8" min="8" style="0" width="14.7490196078431"/>
    <col collapsed="false" hidden="false" max="1025" min="9" style="0" width="8.57647058823529"/>
  </cols>
  <sheetData>
    <row collapsed="false" customFormat="false" customHeight="true" hidden="false" ht="15" outlineLevel="0" r="2">
      <c r="B2" s="2" t="s">
        <v>0</v>
      </c>
      <c r="C2" s="2"/>
      <c r="D2" s="3" t="s">
        <v>1</v>
      </c>
      <c r="E2" s="3"/>
      <c r="F2" s="4"/>
      <c r="G2" s="5" t="s">
        <v>2</v>
      </c>
      <c r="H2" s="3" t="s">
        <v>3</v>
      </c>
    </row>
    <row collapsed="false" customFormat="false" customHeight="true" hidden="false" ht="15" outlineLevel="0" r="3">
      <c r="B3" s="2" t="s">
        <v>4</v>
      </c>
      <c r="C3" s="2"/>
      <c r="D3" s="3" t="s">
        <v>5</v>
      </c>
      <c r="E3" s="3"/>
      <c r="F3" s="4"/>
      <c r="G3" s="5" t="s">
        <v>6</v>
      </c>
      <c r="H3" s="6" t="s">
        <v>7</v>
      </c>
    </row>
    <row collapsed="false" customFormat="false" customHeight="true" hidden="false" ht="15" outlineLevel="0" r="4">
      <c r="B4" s="2" t="s">
        <v>8</v>
      </c>
      <c r="C4" s="2"/>
      <c r="D4" s="3" t="s">
        <v>9</v>
      </c>
      <c r="E4" s="3"/>
      <c r="F4" s="4"/>
      <c r="G4" s="5" t="s">
        <v>10</v>
      </c>
      <c r="H4" s="6"/>
    </row>
    <row collapsed="false" customFormat="false" customHeight="false" hidden="false" ht="14" outlineLevel="0" r="5">
      <c r="B5" s="4"/>
      <c r="C5" s="4"/>
      <c r="D5" s="4"/>
      <c r="E5" s="7"/>
      <c r="F5" s="8"/>
      <c r="G5" s="5" t="s">
        <v>11</v>
      </c>
      <c r="H5" s="6"/>
      <c r="I5" s="9"/>
    </row>
    <row collapsed="false" customFormat="false" customHeight="false" hidden="false" ht="14" outlineLevel="0" r="6">
      <c r="B6" s="4"/>
      <c r="C6" s="4"/>
      <c r="D6" s="4"/>
      <c r="E6" s="7"/>
      <c r="F6" s="8"/>
      <c r="G6" s="10"/>
      <c r="H6" s="11"/>
      <c r="I6" s="9"/>
    </row>
    <row collapsed="false" customFormat="false" customHeight="false" hidden="false" ht="14" outlineLevel="0" r="7">
      <c r="B7" s="12"/>
      <c r="C7" s="12"/>
      <c r="D7" s="13"/>
      <c r="E7" s="13"/>
      <c r="F7" s="14"/>
      <c r="G7" s="10"/>
      <c r="H7" s="15"/>
      <c r="I7" s="9"/>
    </row>
    <row collapsed="false" customFormat="false" customHeight="true" hidden="false" ht="15" outlineLevel="0" r="8">
      <c r="B8" s="16" t="s">
        <v>12</v>
      </c>
      <c r="C8" s="16"/>
      <c r="D8" s="17" t="s">
        <v>13</v>
      </c>
      <c r="E8" s="18" t="s">
        <v>14</v>
      </c>
      <c r="F8" s="19"/>
      <c r="G8" s="20"/>
      <c r="H8" s="13"/>
      <c r="I8" s="9"/>
    </row>
    <row collapsed="false" customFormat="false" customHeight="true" hidden="false" ht="15" outlineLevel="0" r="9">
      <c r="B9" s="21" t="s">
        <v>15</v>
      </c>
      <c r="C9" s="21"/>
      <c r="D9" s="22" t="n">
        <f aca="false">SUM(SizeEstimatingTemplate!E24,SizeEstimatingTemplate!J24)</f>
        <v>208.64</v>
      </c>
      <c r="E9" s="23" t="n">
        <f aca="false">SizeEstimatingTemplate!F24+SizeEstimatingTemplate!K24</f>
        <v>0</v>
      </c>
      <c r="F9" s="24"/>
      <c r="G9" s="20"/>
      <c r="H9" s="13"/>
      <c r="I9" s="9"/>
    </row>
    <row collapsed="false" customFormat="false" customHeight="true" hidden="false" ht="15" outlineLevel="0" r="10">
      <c r="B10" s="21" t="s">
        <v>16</v>
      </c>
      <c r="C10" s="21"/>
      <c r="D10" s="22" t="n">
        <f aca="false">IF(D11="","",D9/D11*60)</f>
        <v>250.368</v>
      </c>
      <c r="E10" s="25" t="n">
        <f aca="false">D19</f>
        <v>694.683333140798</v>
      </c>
      <c r="F10" s="24"/>
      <c r="G10" s="20"/>
      <c r="H10" s="13"/>
    </row>
    <row collapsed="false" customFormat="false" customHeight="true" hidden="false" ht="15.75" outlineLevel="0" r="11">
      <c r="B11" s="26" t="s">
        <v>17</v>
      </c>
      <c r="C11" s="26"/>
      <c r="D11" s="27" t="n">
        <v>50</v>
      </c>
      <c r="E11" s="28" t="str">
        <f aca="false">IF(E9=0,"",IF(E10=0,"",E9/(E10/60)))</f>
        <v/>
      </c>
      <c r="F11" s="29"/>
      <c r="G11" s="20"/>
      <c r="H11" s="13"/>
    </row>
    <row collapsed="false" customFormat="false" customHeight="false" hidden="false" ht="14" outlineLevel="0" r="12">
      <c r="B12" s="12"/>
      <c r="C12" s="12"/>
      <c r="D12" s="13"/>
      <c r="E12" s="13"/>
      <c r="F12" s="13"/>
      <c r="G12" s="20"/>
      <c r="H12" s="13"/>
    </row>
    <row collapsed="false" customFormat="false" customHeight="true" hidden="false" ht="15.75" outlineLevel="0" r="13">
      <c r="B13" s="30" t="s">
        <v>18</v>
      </c>
      <c r="C13" s="30"/>
      <c r="D13" s="31" t="s">
        <v>19</v>
      </c>
      <c r="E13" s="32" t="s">
        <v>20</v>
      </c>
      <c r="F13" s="33" t="s">
        <v>21</v>
      </c>
      <c r="G13" s="20"/>
      <c r="H13" s="13"/>
    </row>
    <row collapsed="false" customFormat="false" customHeight="false" hidden="false" ht="14" outlineLevel="0" r="14">
      <c r="B14" s="34" t="s">
        <v>22</v>
      </c>
      <c r="C14" s="35" t="str">
        <f aca="false">"- Planning"</f>
        <v>- Planning</v>
      </c>
      <c r="D14" s="36" t="n">
        <f aca="false">SUMIF(TimeLog!$A$2:$A$99,Summary!B14,TimeLog!E$2:E$99)</f>
        <v>22.5999999395572</v>
      </c>
      <c r="E14" s="37" t="n">
        <f aca="false">COUNTIF(DefectLog!D$2:D$99,Summary!B14)</f>
        <v>0</v>
      </c>
      <c r="F14" s="38" t="n">
        <f aca="false">COUNTIF(DefectLog!E$2:E$99,Summary!B14)</f>
        <v>0</v>
      </c>
      <c r="G14" s="20"/>
      <c r="H14" s="13"/>
    </row>
    <row collapsed="false" customFormat="false" customHeight="false" hidden="false" ht="14" outlineLevel="0" r="15">
      <c r="B15" s="39" t="s">
        <v>23</v>
      </c>
      <c r="C15" s="40" t="str">
        <f aca="false">"- Detailed Design"</f>
        <v>- Detailed Design</v>
      </c>
      <c r="D15" s="41" t="n">
        <f aca="false">SUMIF(TimeLog!$A$2:$A$99,Summary!B15,TimeLog!E$2:E$99)</f>
        <v>14.8666667053476</v>
      </c>
      <c r="E15" s="42" t="n">
        <f aca="false">COUNTIF(DefectLog!D$2:D$99,Summary!B15)</f>
        <v>0</v>
      </c>
      <c r="F15" s="43" t="n">
        <f aca="false">COUNTIF(DefectLog!E$2:E$99,Summary!B15)</f>
        <v>0</v>
      </c>
      <c r="G15" s="20"/>
      <c r="H15" s="13"/>
    </row>
    <row collapsed="false" customFormat="false" customHeight="false" hidden="false" ht="14" outlineLevel="0" r="16">
      <c r="B16" s="39" t="s">
        <v>24</v>
      </c>
      <c r="C16" s="40" t="str">
        <f aca="false">"- Code"</f>
        <v>- Code</v>
      </c>
      <c r="D16" s="41" t="n">
        <f aca="false">SUMIF(TimeLog!$A$2:$A$99,Summary!B16,TimeLog!E$2:E$99)</f>
        <v>531.516666490119</v>
      </c>
      <c r="E16" s="42" t="n">
        <f aca="false">COUNTIF(DefectLog!D$2:D$99,Summary!B16)</f>
        <v>0</v>
      </c>
      <c r="F16" s="43" t="n">
        <f aca="false">COUNTIF(DefectLog!E$2:E$99,Summary!B16)</f>
        <v>0</v>
      </c>
      <c r="G16" s="20"/>
      <c r="H16" s="13"/>
    </row>
    <row collapsed="false" customFormat="false" customHeight="false" hidden="false" ht="14" outlineLevel="0" r="17">
      <c r="B17" s="39" t="s">
        <v>25</v>
      </c>
      <c r="C17" s="40" t="str">
        <f aca="false">"- Unit test"</f>
        <v>- Unit test</v>
      </c>
      <c r="D17" s="41" t="n">
        <f aca="false">SUMIF(TimeLog!$A$2:$A$99,Summary!B17,TimeLog!E$2:E$99)</f>
        <v>125.700000005774</v>
      </c>
      <c r="E17" s="42" t="n">
        <f aca="false">COUNTIF(DefectLog!D$2:D$99,Summary!B17)</f>
        <v>0</v>
      </c>
      <c r="F17" s="43" t="n">
        <f aca="false">COUNTIF(DefectLog!E$2:E$99,Summary!B17)</f>
        <v>0</v>
      </c>
      <c r="G17" s="20"/>
      <c r="H17" s="13"/>
    </row>
    <row collapsed="false" customFormat="false" customHeight="false" hidden="false" ht="14" outlineLevel="0" r="18">
      <c r="B18" s="44" t="s">
        <v>26</v>
      </c>
      <c r="C18" s="45" t="str">
        <f aca="false">"- Postmortem"</f>
        <v>- Postmortem</v>
      </c>
      <c r="D18" s="46" t="n">
        <f aca="false">SUMIF(TimeLog!$A$2:$A$99,Summary!B18,TimeLog!E$2:E$99)</f>
        <v>0</v>
      </c>
      <c r="E18" s="47" t="n">
        <f aca="false">COUNTIF(DefectLog!D$2:D$99,Summary!B18)</f>
        <v>0</v>
      </c>
      <c r="F18" s="48" t="n">
        <f aca="false">COUNTIF(DefectLog!E$2:E$99,Summary!B18)</f>
        <v>0</v>
      </c>
      <c r="G18" s="20"/>
      <c r="H18" s="13"/>
    </row>
    <row collapsed="false" customFormat="false" customHeight="true" hidden="false" ht="15.75" outlineLevel="0" r="19">
      <c r="B19" s="30" t="s">
        <v>27</v>
      </c>
      <c r="C19" s="30"/>
      <c r="D19" s="49" t="n">
        <f aca="false">SUM(D14:D18)</f>
        <v>694.683333140798</v>
      </c>
      <c r="E19" s="50" t="n">
        <f aca="false">SUM(E14:E18)</f>
        <v>0</v>
      </c>
      <c r="F19" s="51" t="n">
        <f aca="false">SUM(F14:F18)</f>
        <v>0</v>
      </c>
      <c r="G19" s="52"/>
      <c r="H19" s="13"/>
    </row>
  </sheetData>
  <mergeCells count="12">
    <mergeCell ref="B2:C2"/>
    <mergeCell ref="D2:E2"/>
    <mergeCell ref="B3:C3"/>
    <mergeCell ref="D3:E3"/>
    <mergeCell ref="B4:C4"/>
    <mergeCell ref="D4:E4"/>
    <mergeCell ref="B8:C8"/>
    <mergeCell ref="B9:C9"/>
    <mergeCell ref="B10:C10"/>
    <mergeCell ref="B11:C11"/>
    <mergeCell ref="B13:C13"/>
    <mergeCell ref="B19:C19"/>
  </mergeCells>
  <dataValidations count="4">
    <dataValidation allowBlank="true" operator="greaterThanOrEqual" showDropDown="true" showErrorMessage="true" showInputMessage="true" sqref="H4:H6" type="date">
      <formula1>39814</formula1>
      <formula2>0</formula2>
    </dataValidation>
    <dataValidation allowBlank="true" operator="greaterThanOrEqual" showDropDown="true" showErrorMessage="true" showInputMessage="true" sqref="E9" type="whole">
      <formula1>0</formula1>
      <formula2>0</formula2>
    </dataValidation>
    <dataValidation allowBlank="true" operator="between" showDropDown="true" showErrorMessage="true" showInputMessage="true" sqref="H2" type="list">
      <formula1>"3MIEIC1,3MIEIC2,3MIEIC3,3MIEIC4,3MIEIC5,3MIEIC6"</formula1>
      <formula2>0</formula2>
    </dataValidation>
    <dataValidation allowBlank="true" operator="between" showDropDown="true" showErrorMessage="true" showInputMessage="true" sqref="D4:E4" type="list">
      <formula1>"JPF,ACP"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99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1" width="7.08627450980392"/>
    <col collapsed="false" hidden="false" max="2" min="2" style="1" width="18.8078431372549"/>
    <col collapsed="false" hidden="false" max="3" min="3" style="1" width="13.3098039215686"/>
    <col collapsed="false" hidden="false" max="4" min="4" style="1" width="16.3333333333333"/>
    <col collapsed="false" hidden="false" max="5" min="5" style="1" width="10.6980392156863"/>
    <col collapsed="false" hidden="false" max="6" min="6" style="0" width="52.2196078431373"/>
    <col collapsed="false" hidden="false" max="1025" min="7" style="0" width="8.57647058823529"/>
  </cols>
  <sheetData>
    <row collapsed="false" customFormat="false" customHeight="true" hidden="false" ht="28.5" outlineLevel="0" r="1">
      <c r="A1" s="53" t="s">
        <v>18</v>
      </c>
      <c r="B1" s="53" t="s">
        <v>28</v>
      </c>
      <c r="C1" s="53" t="s">
        <v>29</v>
      </c>
      <c r="D1" s="53" t="s">
        <v>30</v>
      </c>
      <c r="E1" s="53" t="s">
        <v>31</v>
      </c>
      <c r="F1" s="53" t="s">
        <v>32</v>
      </c>
    </row>
    <row collapsed="false" customFormat="false" customHeight="true" hidden="false" ht="25.5" outlineLevel="0" r="2">
      <c r="A2" s="54" t="s">
        <v>22</v>
      </c>
      <c r="B2" s="55" t="n">
        <v>40816.4345138889</v>
      </c>
      <c r="C2" s="56"/>
      <c r="D2" s="55" t="n">
        <v>40816.4502083333</v>
      </c>
      <c r="E2" s="57" t="n">
        <f aca="false">IF(AND(B2&lt;&gt;"",D2&lt;&gt;""),(D2-B2)*24*60-C2,"")</f>
        <v>22.5999999395572</v>
      </c>
      <c r="F2" s="58"/>
    </row>
    <row collapsed="false" customFormat="false" customHeight="true" hidden="false" ht="25.5" outlineLevel="0" r="3">
      <c r="A3" s="54" t="s">
        <v>23</v>
      </c>
      <c r="B3" s="55" t="n">
        <v>40816.4503009259</v>
      </c>
      <c r="C3" s="56"/>
      <c r="D3" s="55" t="n">
        <v>40816.460625</v>
      </c>
      <c r="E3" s="57" t="n">
        <f aca="false">IF(AND(B3&lt;&gt;"",D3&lt;&gt;""),(D3-B3)*24*60-C3,"")</f>
        <v>14.8666667053476</v>
      </c>
      <c r="F3" s="58"/>
    </row>
    <row collapsed="false" customFormat="false" customHeight="true" hidden="false" ht="25.5" outlineLevel="0" r="4">
      <c r="A4" s="54" t="s">
        <v>24</v>
      </c>
      <c r="B4" s="55" t="n">
        <v>40816.4606828704</v>
      </c>
      <c r="C4" s="56" t="n">
        <v>4</v>
      </c>
      <c r="D4" s="55" t="n">
        <v>40816.480162037</v>
      </c>
      <c r="E4" s="57" t="n">
        <f aca="false">IF(AND(B4&lt;&gt;"",D4&lt;&gt;""),(D4-B4)*24*60-C4,"")</f>
        <v>24.0499999038875</v>
      </c>
      <c r="F4" s="58"/>
    </row>
    <row collapsed="false" customFormat="false" customHeight="true" hidden="false" ht="25.5" outlineLevel="0" r="5">
      <c r="A5" s="54" t="s">
        <v>24</v>
      </c>
      <c r="B5" s="55" t="n">
        <v>40823.4400347222</v>
      </c>
      <c r="C5" s="56" t="n">
        <v>3</v>
      </c>
      <c r="D5" s="55" t="n">
        <v>40823.4783333333</v>
      </c>
      <c r="E5" s="57" t="n">
        <f aca="false">IF(AND(B5&lt;&gt;"",D5&lt;&gt;""),(D5-B5)*24*60-C5,"")</f>
        <v>52.1499999838416</v>
      </c>
      <c r="F5" s="58"/>
    </row>
    <row collapsed="false" customFormat="false" customHeight="true" hidden="false" ht="25.5" outlineLevel="0" r="6">
      <c r="A6" s="54" t="s">
        <v>24</v>
      </c>
      <c r="B6" s="55" t="n">
        <v>40823.5812037037</v>
      </c>
      <c r="C6" s="56" t="n">
        <v>4</v>
      </c>
      <c r="D6" s="55" t="n">
        <v>40823.5925347222</v>
      </c>
      <c r="E6" s="57" t="n">
        <f aca="false">IF(AND(B6&lt;&gt;"",D6&lt;&gt;""),(D6-B6)*24*60-C6,"")</f>
        <v>12.3166666356847</v>
      </c>
      <c r="F6" s="58"/>
    </row>
    <row collapsed="false" customFormat="false" customHeight="true" hidden="false" ht="25.5" outlineLevel="0" r="7">
      <c r="A7" s="54" t="s">
        <v>25</v>
      </c>
      <c r="B7" s="55" t="n">
        <v>40823.5927314815</v>
      </c>
      <c r="C7" s="56" t="n">
        <v>13</v>
      </c>
      <c r="D7" s="55" t="n">
        <v>40823.6091898148</v>
      </c>
      <c r="E7" s="57" t="n">
        <f aca="false">IF(AND(B7&lt;&gt;"",D7&lt;&gt;""),(D7-B7)*24*60-C7,"")</f>
        <v>10.6999999557156</v>
      </c>
      <c r="F7" s="58"/>
    </row>
    <row collapsed="false" customFormat="false" customHeight="true" hidden="false" ht="25.5" outlineLevel="0" r="8">
      <c r="A8" s="54" t="s">
        <v>24</v>
      </c>
      <c r="B8" s="55" t="n">
        <v>40823.609212963</v>
      </c>
      <c r="C8" s="56"/>
      <c r="D8" s="55" t="n">
        <v>40823.6112962963</v>
      </c>
      <c r="E8" s="57" t="n">
        <f aca="false">IF(AND(B8&lt;&gt;"",D8&lt;&gt;""),(D8-B8)*24*60-C8,"")</f>
        <v>2.99999995739199</v>
      </c>
      <c r="F8" s="58"/>
    </row>
    <row collapsed="false" customFormat="false" customHeight="true" hidden="false" ht="25.5" outlineLevel="0" r="9">
      <c r="A9" s="54" t="s">
        <v>24</v>
      </c>
      <c r="B9" s="55" t="n">
        <v>40825.6666666667</v>
      </c>
      <c r="C9" s="56"/>
      <c r="D9" s="55" t="n">
        <v>40825.7916666667</v>
      </c>
      <c r="E9" s="57" t="n">
        <f aca="false">IF(AND(B9&lt;&gt;"",D9&lt;&gt;""),(D9-B9)*24*60-C9,"")</f>
        <v>180</v>
      </c>
      <c r="F9" s="58"/>
    </row>
    <row collapsed="false" customFormat="false" customHeight="true" hidden="false" ht="25.5" outlineLevel="0" r="10">
      <c r="A10" s="54" t="s">
        <v>25</v>
      </c>
      <c r="B10" s="55" t="n">
        <v>40827.40625</v>
      </c>
      <c r="C10" s="56"/>
      <c r="D10" s="55" t="n">
        <v>40827.4791666667</v>
      </c>
      <c r="E10" s="57" t="n">
        <f aca="false">IF(AND(B10&lt;&gt;"",D10&lt;&gt;""),(D10-B10)*24*60-C10,"")</f>
        <v>105.000000048894</v>
      </c>
      <c r="F10" s="58"/>
    </row>
    <row collapsed="false" customFormat="false" customHeight="true" hidden="false" ht="25.5" outlineLevel="0" r="11">
      <c r="A11" s="54" t="s">
        <v>24</v>
      </c>
      <c r="B11" s="55" t="n">
        <v>40827.4791666667</v>
      </c>
      <c r="C11" s="56"/>
      <c r="D11" s="55" t="n">
        <v>40827.6180555556</v>
      </c>
      <c r="E11" s="57" t="n">
        <f aca="false">IF(AND(B11&lt;&gt;"",D11&lt;&gt;""),(D11-B11)*24*60-C11,"")</f>
        <v>200.000000012806</v>
      </c>
      <c r="F11" s="58"/>
    </row>
    <row collapsed="false" customFormat="false" customHeight="true" hidden="false" ht="25.5" outlineLevel="0" r="12">
      <c r="A12" s="54" t="s">
        <v>24</v>
      </c>
      <c r="B12" s="55" t="n">
        <v>40827.7083333333</v>
      </c>
      <c r="C12" s="56"/>
      <c r="D12" s="55" t="n">
        <v>40827.75</v>
      </c>
      <c r="E12" s="57" t="n">
        <f aca="false">IF(AND(B12&lt;&gt;"",D12&lt;&gt;""),(D12-B12)*24*60-C12,"")</f>
        <v>59.9999999965075</v>
      </c>
      <c r="F12" s="58" t="s">
        <v>33</v>
      </c>
    </row>
    <row collapsed="false" customFormat="false" customHeight="true" hidden="false" ht="25.5" outlineLevel="0" r="13">
      <c r="A13" s="54" t="s">
        <v>25</v>
      </c>
      <c r="B13" s="55" t="n">
        <v>40827.75</v>
      </c>
      <c r="C13" s="56"/>
      <c r="D13" s="55" t="n">
        <v>40827.7569444445</v>
      </c>
      <c r="E13" s="57" t="n">
        <f aca="false">IF(AND(B13&lt;&gt;"",D13&lt;&gt;""),(D13-B13)*24*60-C13,"")</f>
        <v>10.0000000011642</v>
      </c>
      <c r="F13" s="58"/>
    </row>
    <row collapsed="false" customFormat="false" customHeight="true" hidden="false" ht="25.5" outlineLevel="0" r="14">
      <c r="A14" s="54"/>
      <c r="B14" s="55"/>
      <c r="C14" s="56"/>
      <c r="D14" s="55"/>
      <c r="E14" s="57" t="str">
        <f aca="false">IF(AND(B14&lt;&gt;"",D14&lt;&gt;""),(D14-B14)*24*60-C14,"")</f>
        <v/>
      </c>
      <c r="F14" s="58"/>
    </row>
    <row collapsed="false" customFormat="false" customHeight="true" hidden="false" ht="25.5" outlineLevel="0" r="15">
      <c r="A15" s="54"/>
      <c r="B15" s="55"/>
      <c r="C15" s="56"/>
      <c r="D15" s="55"/>
      <c r="E15" s="57" t="str">
        <f aca="false">IF(AND(B15&lt;&gt;"",D15&lt;&gt;""),(D15-B15)*24*60-C15,"")</f>
        <v/>
      </c>
      <c r="F15" s="58"/>
    </row>
    <row collapsed="false" customFormat="false" customHeight="true" hidden="false" ht="25.5" outlineLevel="0" r="16">
      <c r="A16" s="54"/>
      <c r="B16" s="55"/>
      <c r="C16" s="56"/>
      <c r="D16" s="55"/>
      <c r="E16" s="57" t="str">
        <f aca="false">IF(AND(B16&lt;&gt;"",D16&lt;&gt;""),(D16-B16)*24*60-C16,"")</f>
        <v/>
      </c>
      <c r="F16" s="58"/>
    </row>
    <row collapsed="false" customFormat="false" customHeight="true" hidden="false" ht="25.5" outlineLevel="0" r="17">
      <c r="A17" s="54"/>
      <c r="B17" s="55"/>
      <c r="C17" s="56"/>
      <c r="D17" s="55"/>
      <c r="E17" s="57" t="str">
        <f aca="false">IF(AND(B17&lt;&gt;"",D17&lt;&gt;""),(D17-B17)*24*60-C17,"")</f>
        <v/>
      </c>
      <c r="F17" s="58"/>
    </row>
    <row collapsed="false" customFormat="false" customHeight="true" hidden="false" ht="25.5" outlineLevel="0" r="18">
      <c r="A18" s="54"/>
      <c r="B18" s="55"/>
      <c r="C18" s="56"/>
      <c r="D18" s="55"/>
      <c r="E18" s="57" t="str">
        <f aca="false">IF(AND(B18&lt;&gt;"",D18&lt;&gt;""),(D18-B18)*24*60-C18,"")</f>
        <v/>
      </c>
      <c r="F18" s="58"/>
    </row>
    <row collapsed="false" customFormat="false" customHeight="true" hidden="false" ht="25.5" outlineLevel="0" r="19">
      <c r="A19" s="54"/>
      <c r="B19" s="55"/>
      <c r="C19" s="56"/>
      <c r="D19" s="55"/>
      <c r="E19" s="57" t="str">
        <f aca="false">IF(AND(B19&lt;&gt;"",D19&lt;&gt;""),(D19-B19)*24*60-C19,"")</f>
        <v/>
      </c>
      <c r="F19" s="58"/>
    </row>
    <row collapsed="false" customFormat="false" customHeight="true" hidden="false" ht="25.5" outlineLevel="0" r="20">
      <c r="A20" s="54"/>
      <c r="B20" s="55"/>
      <c r="C20" s="56"/>
      <c r="D20" s="55"/>
      <c r="E20" s="57" t="str">
        <f aca="false">IF(AND(B20&lt;&gt;"",D20&lt;&gt;""),(D20-B20)*24*60-C20,"")</f>
        <v/>
      </c>
      <c r="F20" s="58"/>
    </row>
    <row collapsed="false" customFormat="false" customHeight="true" hidden="false" ht="25.5" outlineLevel="0" r="21">
      <c r="A21" s="54"/>
      <c r="B21" s="55"/>
      <c r="C21" s="56"/>
      <c r="D21" s="55"/>
      <c r="E21" s="57" t="str">
        <f aca="false">IF(AND(B21&lt;&gt;"",D21&lt;&gt;""),(D21-B21)*24*60-C21,"")</f>
        <v/>
      </c>
      <c r="F21" s="58"/>
    </row>
    <row collapsed="false" customFormat="false" customHeight="true" hidden="false" ht="25.5" outlineLevel="0" r="22">
      <c r="A22" s="54"/>
      <c r="B22" s="55"/>
      <c r="C22" s="56"/>
      <c r="D22" s="55"/>
      <c r="E22" s="57" t="str">
        <f aca="false">IF(AND(B22&lt;&gt;"",D22&lt;&gt;""),(D22-B22)*24*60-C22,"")</f>
        <v/>
      </c>
      <c r="F22" s="58"/>
    </row>
    <row collapsed="false" customFormat="false" customHeight="true" hidden="false" ht="25.5" outlineLevel="0" r="23">
      <c r="A23" s="54"/>
      <c r="B23" s="55"/>
      <c r="C23" s="56"/>
      <c r="D23" s="55"/>
      <c r="E23" s="57" t="str">
        <f aca="false">IF(AND(B23&lt;&gt;"",D23&lt;&gt;""),(D23-B23)*24*60-C23,"")</f>
        <v/>
      </c>
      <c r="F23" s="58"/>
    </row>
    <row collapsed="false" customFormat="false" customHeight="true" hidden="false" ht="25.5" outlineLevel="0" r="24">
      <c r="A24" s="54"/>
      <c r="B24" s="55"/>
      <c r="C24" s="56"/>
      <c r="D24" s="55"/>
      <c r="E24" s="57" t="str">
        <f aca="false">IF(AND(B24&lt;&gt;"",D24&lt;&gt;""),(D24-B24)*24*60-C24,"")</f>
        <v/>
      </c>
      <c r="F24" s="58"/>
    </row>
    <row collapsed="false" customFormat="false" customHeight="true" hidden="false" ht="25.5" outlineLevel="0" r="25">
      <c r="A25" s="54"/>
      <c r="B25" s="55"/>
      <c r="C25" s="56"/>
      <c r="D25" s="55"/>
      <c r="E25" s="57" t="str">
        <f aca="false">IF(AND(B25&lt;&gt;"",D25&lt;&gt;""),(D25-B25)*24*60-C25,"")</f>
        <v/>
      </c>
      <c r="F25" s="58"/>
    </row>
    <row collapsed="false" customFormat="false" customHeight="true" hidden="false" ht="25.5" outlineLevel="0" r="26">
      <c r="A26" s="54"/>
      <c r="B26" s="55"/>
      <c r="C26" s="56"/>
      <c r="D26" s="55"/>
      <c r="E26" s="57" t="str">
        <f aca="false">IF(AND(B26&lt;&gt;"",D26&lt;&gt;""),(D26-B26)*24*60-C26,"")</f>
        <v/>
      </c>
      <c r="F26" s="58"/>
    </row>
    <row collapsed="false" customFormat="false" customHeight="true" hidden="false" ht="25.5" outlineLevel="0" r="27">
      <c r="A27" s="54"/>
      <c r="B27" s="55"/>
      <c r="C27" s="56"/>
      <c r="D27" s="55"/>
      <c r="E27" s="57" t="str">
        <f aca="false">IF(AND(B27&lt;&gt;"",D27&lt;&gt;""),(D27-B27)*24*60-C27,"")</f>
        <v/>
      </c>
      <c r="F27" s="58"/>
    </row>
    <row collapsed="false" customFormat="false" customHeight="true" hidden="false" ht="25.5" outlineLevel="0" r="28">
      <c r="A28" s="54"/>
      <c r="B28" s="55"/>
      <c r="C28" s="56"/>
      <c r="D28" s="55"/>
      <c r="E28" s="57" t="str">
        <f aca="false">IF(AND(B28&lt;&gt;"",D28&lt;&gt;""),(D28-B28)*24*60-C28,"")</f>
        <v/>
      </c>
      <c r="F28" s="58"/>
    </row>
    <row collapsed="false" customFormat="false" customHeight="true" hidden="false" ht="25.5" outlineLevel="0" r="29">
      <c r="A29" s="54"/>
      <c r="B29" s="55"/>
      <c r="C29" s="56"/>
      <c r="D29" s="55"/>
      <c r="E29" s="57" t="str">
        <f aca="false">IF(AND(B29&lt;&gt;"",D29&lt;&gt;""),(D29-B29)*24*60-C29,"")</f>
        <v/>
      </c>
      <c r="F29" s="58"/>
    </row>
    <row collapsed="false" customFormat="false" customHeight="true" hidden="false" ht="25.5" outlineLevel="0" r="30">
      <c r="A30" s="54"/>
      <c r="B30" s="55"/>
      <c r="C30" s="56"/>
      <c r="D30" s="55"/>
      <c r="E30" s="57" t="str">
        <f aca="false">IF(AND(B30&lt;&gt;"",D30&lt;&gt;""),(D30-B30)*24*60-C30,"")</f>
        <v/>
      </c>
      <c r="F30" s="58"/>
    </row>
    <row collapsed="false" customFormat="false" customHeight="true" hidden="false" ht="25.5" outlineLevel="0" r="31">
      <c r="A31" s="54"/>
      <c r="B31" s="55"/>
      <c r="C31" s="56"/>
      <c r="D31" s="55"/>
      <c r="E31" s="57" t="str">
        <f aca="false">IF(AND(B31&lt;&gt;"",D31&lt;&gt;""),(D31-B31)*24*60-C31,"")</f>
        <v/>
      </c>
      <c r="F31" s="58"/>
    </row>
    <row collapsed="false" customFormat="false" customHeight="true" hidden="false" ht="25.5" outlineLevel="0" r="32">
      <c r="A32" s="54"/>
      <c r="B32" s="55"/>
      <c r="C32" s="56"/>
      <c r="D32" s="55"/>
      <c r="E32" s="57" t="str">
        <f aca="false">IF(AND(B32&lt;&gt;"",D32&lt;&gt;""),(D32-B32)*24*60-C32,"")</f>
        <v/>
      </c>
      <c r="F32" s="58"/>
    </row>
    <row collapsed="false" customFormat="false" customHeight="true" hidden="false" ht="25.5" outlineLevel="0" r="33">
      <c r="A33" s="54"/>
      <c r="B33" s="55"/>
      <c r="C33" s="56"/>
      <c r="D33" s="55"/>
      <c r="E33" s="57" t="str">
        <f aca="false">IF(AND(B33&lt;&gt;"",D33&lt;&gt;""),(D33-B33)*24*60-C33,"")</f>
        <v/>
      </c>
      <c r="F33" s="58"/>
    </row>
    <row collapsed="false" customFormat="false" customHeight="true" hidden="false" ht="25.5" outlineLevel="0" r="34">
      <c r="A34" s="54"/>
      <c r="B34" s="55"/>
      <c r="C34" s="56"/>
      <c r="D34" s="55"/>
      <c r="E34" s="57" t="str">
        <f aca="false">IF(AND(B34&lt;&gt;"",D34&lt;&gt;""),(D34-B34)*24*60-C34,"")</f>
        <v/>
      </c>
      <c r="F34" s="58"/>
    </row>
    <row collapsed="false" customFormat="false" customHeight="true" hidden="false" ht="25.5" outlineLevel="0" r="35">
      <c r="A35" s="54"/>
      <c r="B35" s="55"/>
      <c r="C35" s="56"/>
      <c r="D35" s="55"/>
      <c r="E35" s="57" t="str">
        <f aca="false">IF(AND(B35&lt;&gt;"",D35&lt;&gt;""),(D35-B35)*24*60-C35,"")</f>
        <v/>
      </c>
      <c r="F35" s="58"/>
    </row>
    <row collapsed="false" customFormat="false" customHeight="true" hidden="false" ht="25.5" outlineLevel="0" r="36">
      <c r="A36" s="54"/>
      <c r="B36" s="55"/>
      <c r="C36" s="56"/>
      <c r="D36" s="55"/>
      <c r="E36" s="57" t="str">
        <f aca="false">IF(AND(B36&lt;&gt;"",D36&lt;&gt;""),(D36-B36)*24*60-C36,"")</f>
        <v/>
      </c>
      <c r="F36" s="58"/>
    </row>
    <row collapsed="false" customFormat="false" customHeight="true" hidden="false" ht="25.5" outlineLevel="0" r="37">
      <c r="A37" s="54"/>
      <c r="B37" s="55"/>
      <c r="C37" s="56"/>
      <c r="D37" s="55"/>
      <c r="E37" s="57" t="str">
        <f aca="false">IF(AND(B37&lt;&gt;"",D37&lt;&gt;""),(D37-B37)*24*60-C37,"")</f>
        <v/>
      </c>
      <c r="F37" s="58"/>
    </row>
    <row collapsed="false" customFormat="false" customHeight="true" hidden="false" ht="25.5" outlineLevel="0" r="38">
      <c r="A38" s="54"/>
      <c r="B38" s="55"/>
      <c r="C38" s="56"/>
      <c r="D38" s="55"/>
      <c r="E38" s="57" t="str">
        <f aca="false">IF(AND(B38&lt;&gt;"",D38&lt;&gt;""),(D38-B38)*24*60-C38,"")</f>
        <v/>
      </c>
      <c r="F38" s="58"/>
    </row>
    <row collapsed="false" customFormat="false" customHeight="true" hidden="false" ht="25.5" outlineLevel="0" r="39">
      <c r="A39" s="54"/>
      <c r="B39" s="55"/>
      <c r="C39" s="56"/>
      <c r="D39" s="55"/>
      <c r="E39" s="57" t="str">
        <f aca="false">IF(AND(B39&lt;&gt;"",D39&lt;&gt;""),(D39-B39)*24*60-C39,"")</f>
        <v/>
      </c>
      <c r="F39" s="58"/>
    </row>
    <row collapsed="false" customFormat="false" customHeight="true" hidden="false" ht="25.5" outlineLevel="0" r="40">
      <c r="A40" s="54"/>
      <c r="B40" s="55"/>
      <c r="C40" s="56"/>
      <c r="D40" s="55"/>
      <c r="E40" s="57" t="str">
        <f aca="false">IF(AND(B40&lt;&gt;"",D40&lt;&gt;""),(D40-B40)*24*60-C40,"")</f>
        <v/>
      </c>
      <c r="F40" s="58"/>
    </row>
    <row collapsed="false" customFormat="false" customHeight="true" hidden="false" ht="25.5" outlineLevel="0" r="41">
      <c r="A41" s="54"/>
      <c r="B41" s="55"/>
      <c r="C41" s="56"/>
      <c r="D41" s="55"/>
      <c r="E41" s="57" t="str">
        <f aca="false">IF(AND(B41&lt;&gt;"",D41&lt;&gt;""),(D41-B41)*24*60-C41,"")</f>
        <v/>
      </c>
      <c r="F41" s="58"/>
    </row>
    <row collapsed="false" customFormat="false" customHeight="true" hidden="false" ht="25.5" outlineLevel="0" r="42">
      <c r="A42" s="54"/>
      <c r="B42" s="55"/>
      <c r="C42" s="56"/>
      <c r="D42" s="55"/>
      <c r="E42" s="57" t="str">
        <f aca="false">IF(AND(B42&lt;&gt;"",D42&lt;&gt;""),(D42-B42)*24*60-C42,"")</f>
        <v/>
      </c>
      <c r="F42" s="58"/>
    </row>
    <row collapsed="false" customFormat="false" customHeight="true" hidden="false" ht="25.5" outlineLevel="0" r="43">
      <c r="A43" s="54"/>
      <c r="B43" s="55"/>
      <c r="C43" s="56"/>
      <c r="D43" s="55"/>
      <c r="E43" s="57" t="str">
        <f aca="false">IF(AND(B43&lt;&gt;"",D43&lt;&gt;""),(D43-B43)*24*60-C43,"")</f>
        <v/>
      </c>
      <c r="F43" s="58"/>
    </row>
    <row collapsed="false" customFormat="false" customHeight="true" hidden="false" ht="25.5" outlineLevel="0" r="44">
      <c r="A44" s="54"/>
      <c r="B44" s="55"/>
      <c r="C44" s="56"/>
      <c r="D44" s="55"/>
      <c r="E44" s="57" t="str">
        <f aca="false">IF(AND(B44&lt;&gt;"",D44&lt;&gt;""),(D44-B44)*24*60-C44,"")</f>
        <v/>
      </c>
      <c r="F44" s="58"/>
    </row>
    <row collapsed="false" customFormat="false" customHeight="true" hidden="false" ht="25.5" outlineLevel="0" r="45">
      <c r="A45" s="54"/>
      <c r="B45" s="55"/>
      <c r="C45" s="56"/>
      <c r="D45" s="55"/>
      <c r="E45" s="57" t="str">
        <f aca="false">IF(AND(B45&lt;&gt;"",D45&lt;&gt;""),(D45-B45)*24*60-C45,"")</f>
        <v/>
      </c>
      <c r="F45" s="58"/>
    </row>
    <row collapsed="false" customFormat="false" customHeight="true" hidden="false" ht="25.5" outlineLevel="0" r="46">
      <c r="A46" s="54"/>
      <c r="B46" s="55"/>
      <c r="C46" s="56"/>
      <c r="D46" s="55"/>
      <c r="E46" s="57" t="str">
        <f aca="false">IF(AND(B46&lt;&gt;"",D46&lt;&gt;""),(D46-B46)*24*60-C46,"")</f>
        <v/>
      </c>
      <c r="F46" s="58"/>
    </row>
    <row collapsed="false" customFormat="false" customHeight="true" hidden="false" ht="25.5" outlineLevel="0" r="47">
      <c r="A47" s="54"/>
      <c r="B47" s="55"/>
      <c r="C47" s="56"/>
      <c r="D47" s="55"/>
      <c r="E47" s="57" t="str">
        <f aca="false">IF(AND(B47&lt;&gt;"",D47&lt;&gt;""),(D47-B47)*24*60-C47,"")</f>
        <v/>
      </c>
      <c r="F47" s="58"/>
    </row>
    <row collapsed="false" customFormat="false" customHeight="true" hidden="false" ht="25.5" outlineLevel="0" r="48">
      <c r="A48" s="54"/>
      <c r="B48" s="55"/>
      <c r="C48" s="56"/>
      <c r="D48" s="55"/>
      <c r="E48" s="57" t="str">
        <f aca="false">IF(AND(B48&lt;&gt;"",D48&lt;&gt;""),(D48-B48)*24*60-C48,"")</f>
        <v/>
      </c>
      <c r="F48" s="58"/>
    </row>
    <row collapsed="false" customFormat="false" customHeight="true" hidden="false" ht="25.5" outlineLevel="0" r="49">
      <c r="A49" s="54"/>
      <c r="B49" s="55"/>
      <c r="C49" s="56"/>
      <c r="D49" s="55"/>
      <c r="E49" s="57" t="str">
        <f aca="false">IF(AND(B49&lt;&gt;"",D49&lt;&gt;""),(D49-B49)*24*60-C49,"")</f>
        <v/>
      </c>
      <c r="F49" s="58"/>
    </row>
    <row collapsed="false" customFormat="false" customHeight="true" hidden="false" ht="25.5" outlineLevel="0" r="50">
      <c r="A50" s="54"/>
      <c r="B50" s="55"/>
      <c r="C50" s="56"/>
      <c r="D50" s="55"/>
      <c r="E50" s="57" t="str">
        <f aca="false">IF(AND(B50&lt;&gt;"",D50&lt;&gt;""),(D50-B50)*24*60-C50,"")</f>
        <v/>
      </c>
      <c r="F50" s="58"/>
    </row>
    <row collapsed="false" customFormat="false" customHeight="true" hidden="false" ht="25.5" outlineLevel="0" r="51">
      <c r="A51" s="54"/>
      <c r="B51" s="55"/>
      <c r="C51" s="56"/>
      <c r="D51" s="55"/>
      <c r="E51" s="57" t="str">
        <f aca="false">IF(AND(B51&lt;&gt;"",D51&lt;&gt;""),(D51-B51)*24*60-C51,"")</f>
        <v/>
      </c>
      <c r="F51" s="58"/>
    </row>
    <row collapsed="false" customFormat="false" customHeight="true" hidden="false" ht="25.5" outlineLevel="0" r="52">
      <c r="A52" s="54"/>
      <c r="B52" s="55"/>
      <c r="C52" s="56"/>
      <c r="D52" s="55"/>
      <c r="E52" s="57" t="str">
        <f aca="false">IF(AND(B52&lt;&gt;"",D52&lt;&gt;""),(D52-B52)*24*60-C52,"")</f>
        <v/>
      </c>
      <c r="F52" s="58"/>
    </row>
    <row collapsed="false" customFormat="false" customHeight="true" hidden="false" ht="25.5" outlineLevel="0" r="53">
      <c r="A53" s="54"/>
      <c r="B53" s="55"/>
      <c r="C53" s="56"/>
      <c r="D53" s="55"/>
      <c r="E53" s="57" t="str">
        <f aca="false">IF(AND(B53&lt;&gt;"",D53&lt;&gt;""),(D53-B53)*24*60-C53,"")</f>
        <v/>
      </c>
      <c r="F53" s="58"/>
    </row>
    <row collapsed="false" customFormat="false" customHeight="true" hidden="false" ht="25.5" outlineLevel="0" r="54">
      <c r="A54" s="54"/>
      <c r="B54" s="55"/>
      <c r="C54" s="56"/>
      <c r="D54" s="55"/>
      <c r="E54" s="57" t="str">
        <f aca="false">IF(AND(B54&lt;&gt;"",D54&lt;&gt;""),(D54-B54)*24*60-C54,"")</f>
        <v/>
      </c>
      <c r="F54" s="58"/>
    </row>
    <row collapsed="false" customFormat="false" customHeight="true" hidden="false" ht="25.5" outlineLevel="0" r="55">
      <c r="A55" s="54"/>
      <c r="B55" s="55"/>
      <c r="C55" s="56"/>
      <c r="D55" s="55"/>
      <c r="E55" s="57" t="str">
        <f aca="false">IF(AND(B55&lt;&gt;"",D55&lt;&gt;""),(D55-B55)*24*60-C55,"")</f>
        <v/>
      </c>
      <c r="F55" s="58"/>
    </row>
    <row collapsed="false" customFormat="false" customHeight="true" hidden="false" ht="25.5" outlineLevel="0" r="56">
      <c r="A56" s="54"/>
      <c r="B56" s="55"/>
      <c r="C56" s="56"/>
      <c r="D56" s="55"/>
      <c r="E56" s="57" t="str">
        <f aca="false">IF(AND(B56&lt;&gt;"",D56&lt;&gt;""),(D56-B56)*24*60-C56,"")</f>
        <v/>
      </c>
      <c r="F56" s="58"/>
    </row>
    <row collapsed="false" customFormat="false" customHeight="true" hidden="false" ht="25.5" outlineLevel="0" r="57">
      <c r="A57" s="54"/>
      <c r="B57" s="55"/>
      <c r="C57" s="56"/>
      <c r="D57" s="55"/>
      <c r="E57" s="57" t="str">
        <f aca="false">IF(AND(B57&lt;&gt;"",D57&lt;&gt;""),(D57-B57)*24*60-C57,"")</f>
        <v/>
      </c>
      <c r="F57" s="58"/>
    </row>
    <row collapsed="false" customFormat="false" customHeight="true" hidden="false" ht="25.5" outlineLevel="0" r="58">
      <c r="A58" s="54"/>
      <c r="B58" s="55"/>
      <c r="C58" s="56"/>
      <c r="D58" s="55"/>
      <c r="E58" s="57" t="str">
        <f aca="false">IF(AND(B58&lt;&gt;"",D58&lt;&gt;""),(D58-B58)*24*60-C58,"")</f>
        <v/>
      </c>
      <c r="F58" s="58"/>
    </row>
    <row collapsed="false" customFormat="false" customHeight="true" hidden="false" ht="25.5" outlineLevel="0" r="59">
      <c r="A59" s="54"/>
      <c r="B59" s="55"/>
      <c r="C59" s="56"/>
      <c r="D59" s="55"/>
      <c r="E59" s="57" t="str">
        <f aca="false">IF(AND(B59&lt;&gt;"",D59&lt;&gt;""),(D59-B59)*24*60-C59,"")</f>
        <v/>
      </c>
      <c r="F59" s="58"/>
    </row>
    <row collapsed="false" customFormat="false" customHeight="true" hidden="false" ht="25.5" outlineLevel="0" r="60">
      <c r="A60" s="54"/>
      <c r="B60" s="55"/>
      <c r="C60" s="56"/>
      <c r="D60" s="55"/>
      <c r="E60" s="57" t="str">
        <f aca="false">IF(AND(B60&lt;&gt;"",D60&lt;&gt;""),(D60-B60)*24*60-C60,"")</f>
        <v/>
      </c>
      <c r="F60" s="58"/>
    </row>
    <row collapsed="false" customFormat="false" customHeight="true" hidden="false" ht="25.5" outlineLevel="0" r="61">
      <c r="A61" s="54"/>
      <c r="B61" s="55"/>
      <c r="C61" s="56"/>
      <c r="D61" s="55"/>
      <c r="E61" s="57" t="str">
        <f aca="false">IF(AND(B61&lt;&gt;"",D61&lt;&gt;""),(D61-B61)*24*60-C61,"")</f>
        <v/>
      </c>
      <c r="F61" s="58"/>
    </row>
    <row collapsed="false" customFormat="false" customHeight="true" hidden="false" ht="25.5" outlineLevel="0" r="62">
      <c r="A62" s="54"/>
      <c r="B62" s="55"/>
      <c r="C62" s="56"/>
      <c r="D62" s="55"/>
      <c r="E62" s="57" t="str">
        <f aca="false">IF(AND(B62&lt;&gt;"",D62&lt;&gt;""),(D62-B62)*24*60-C62,"")</f>
        <v/>
      </c>
      <c r="F62" s="58"/>
    </row>
    <row collapsed="false" customFormat="false" customHeight="true" hidden="false" ht="25.5" outlineLevel="0" r="63">
      <c r="A63" s="54"/>
      <c r="B63" s="55"/>
      <c r="C63" s="56"/>
      <c r="D63" s="55"/>
      <c r="E63" s="57" t="str">
        <f aca="false">IF(AND(B63&lt;&gt;"",D63&lt;&gt;""),(D63-B63)*24*60-C63,"")</f>
        <v/>
      </c>
      <c r="F63" s="58"/>
    </row>
    <row collapsed="false" customFormat="false" customHeight="true" hidden="false" ht="25.5" outlineLevel="0" r="64">
      <c r="A64" s="54"/>
      <c r="B64" s="55"/>
      <c r="C64" s="56"/>
      <c r="D64" s="55"/>
      <c r="E64" s="57" t="str">
        <f aca="false">IF(AND(B64&lt;&gt;"",D64&lt;&gt;""),(D64-B64)*24*60-C64,"")</f>
        <v/>
      </c>
      <c r="F64" s="58"/>
    </row>
    <row collapsed="false" customFormat="false" customHeight="true" hidden="false" ht="25.5" outlineLevel="0" r="65">
      <c r="A65" s="54"/>
      <c r="B65" s="55"/>
      <c r="C65" s="56"/>
      <c r="D65" s="55"/>
      <c r="E65" s="57" t="str">
        <f aca="false">IF(AND(B65&lt;&gt;"",D65&lt;&gt;""),(D65-B65)*24*60-C65,"")</f>
        <v/>
      </c>
      <c r="F65" s="58"/>
    </row>
    <row collapsed="false" customFormat="false" customHeight="true" hidden="false" ht="25.5" outlineLevel="0" r="66">
      <c r="A66" s="54"/>
      <c r="B66" s="55"/>
      <c r="C66" s="56"/>
      <c r="D66" s="55"/>
      <c r="E66" s="57" t="str">
        <f aca="false">IF(AND(B66&lt;&gt;"",D66&lt;&gt;""),(D66-B66)*24*60-C66,"")</f>
        <v/>
      </c>
      <c r="F66" s="58"/>
    </row>
    <row collapsed="false" customFormat="false" customHeight="true" hidden="false" ht="25.5" outlineLevel="0" r="67">
      <c r="A67" s="54"/>
      <c r="B67" s="55"/>
      <c r="C67" s="56"/>
      <c r="D67" s="55"/>
      <c r="E67" s="57" t="str">
        <f aca="false">IF(AND(B67&lt;&gt;"",D67&lt;&gt;""),(D67-B67)*24*60-C67,"")</f>
        <v/>
      </c>
      <c r="F67" s="58"/>
    </row>
    <row collapsed="false" customFormat="false" customHeight="true" hidden="false" ht="25.5" outlineLevel="0" r="68">
      <c r="A68" s="54"/>
      <c r="B68" s="55"/>
      <c r="C68" s="56"/>
      <c r="D68" s="55"/>
      <c r="E68" s="57" t="str">
        <f aca="false">IF(AND(B68&lt;&gt;"",D68&lt;&gt;""),(D68-B68)*24*60-C68,"")</f>
        <v/>
      </c>
      <c r="F68" s="58"/>
    </row>
    <row collapsed="false" customFormat="false" customHeight="true" hidden="false" ht="25.5" outlineLevel="0" r="69">
      <c r="A69" s="54"/>
      <c r="B69" s="55"/>
      <c r="C69" s="56"/>
      <c r="D69" s="55"/>
      <c r="E69" s="57" t="str">
        <f aca="false">IF(AND(B69&lt;&gt;"",D69&lt;&gt;""),(D69-B69)*24*60-C69,"")</f>
        <v/>
      </c>
      <c r="F69" s="58"/>
    </row>
    <row collapsed="false" customFormat="false" customHeight="true" hidden="false" ht="25.5" outlineLevel="0" r="70">
      <c r="A70" s="54"/>
      <c r="B70" s="55"/>
      <c r="C70" s="56"/>
      <c r="D70" s="55"/>
      <c r="E70" s="57" t="str">
        <f aca="false">IF(AND(B70&lt;&gt;"",D70&lt;&gt;""),(D70-B70)*24*60-C70,"")</f>
        <v/>
      </c>
      <c r="F70" s="58"/>
    </row>
    <row collapsed="false" customFormat="false" customHeight="true" hidden="false" ht="25.5" outlineLevel="0" r="71">
      <c r="A71" s="54"/>
      <c r="B71" s="55"/>
      <c r="C71" s="56"/>
      <c r="D71" s="55"/>
      <c r="E71" s="57" t="str">
        <f aca="false">IF(AND(B71&lt;&gt;"",D71&lt;&gt;""),(D71-B71)*24*60-C71,"")</f>
        <v/>
      </c>
      <c r="F71" s="58"/>
    </row>
    <row collapsed="false" customFormat="false" customHeight="true" hidden="false" ht="25.5" outlineLevel="0" r="72">
      <c r="A72" s="54"/>
      <c r="B72" s="55"/>
      <c r="C72" s="56"/>
      <c r="D72" s="55"/>
      <c r="E72" s="57" t="str">
        <f aca="false">IF(AND(B72&lt;&gt;"",D72&lt;&gt;""),(D72-B72)*24*60-C72,"")</f>
        <v/>
      </c>
      <c r="F72" s="58"/>
    </row>
    <row collapsed="false" customFormat="false" customHeight="true" hidden="false" ht="25.5" outlineLevel="0" r="73">
      <c r="A73" s="54"/>
      <c r="B73" s="55"/>
      <c r="C73" s="56"/>
      <c r="D73" s="55"/>
      <c r="E73" s="57" t="str">
        <f aca="false">IF(AND(B73&lt;&gt;"",D73&lt;&gt;""),(D73-B73)*24*60-C73,"")</f>
        <v/>
      </c>
      <c r="F73" s="58"/>
    </row>
    <row collapsed="false" customFormat="false" customHeight="true" hidden="false" ht="25.5" outlineLevel="0" r="74">
      <c r="A74" s="54"/>
      <c r="B74" s="55"/>
      <c r="C74" s="56"/>
      <c r="D74" s="55"/>
      <c r="E74" s="57" t="str">
        <f aca="false">IF(AND(B74&lt;&gt;"",D74&lt;&gt;""),(D74-B74)*24*60-C74,"")</f>
        <v/>
      </c>
      <c r="F74" s="58"/>
    </row>
    <row collapsed="false" customFormat="false" customHeight="true" hidden="false" ht="25.5" outlineLevel="0" r="75">
      <c r="A75" s="54"/>
      <c r="B75" s="55"/>
      <c r="C75" s="56"/>
      <c r="D75" s="55"/>
      <c r="E75" s="57" t="str">
        <f aca="false">IF(AND(B75&lt;&gt;"",D75&lt;&gt;""),(D75-B75)*24*60-C75,"")</f>
        <v/>
      </c>
      <c r="F75" s="58"/>
    </row>
    <row collapsed="false" customFormat="false" customHeight="true" hidden="false" ht="25.5" outlineLevel="0" r="76">
      <c r="A76" s="54"/>
      <c r="B76" s="55"/>
      <c r="C76" s="56"/>
      <c r="D76" s="55"/>
      <c r="E76" s="57" t="str">
        <f aca="false">IF(AND(B76&lt;&gt;"",D76&lt;&gt;""),(D76-B76)*24*60-C76,"")</f>
        <v/>
      </c>
      <c r="F76" s="58"/>
    </row>
    <row collapsed="false" customFormat="false" customHeight="true" hidden="false" ht="25.5" outlineLevel="0" r="77">
      <c r="A77" s="54"/>
      <c r="B77" s="55"/>
      <c r="C77" s="56"/>
      <c r="D77" s="55"/>
      <c r="E77" s="57" t="str">
        <f aca="false">IF(AND(B77&lt;&gt;"",D77&lt;&gt;""),(D77-B77)*24*60-C77,"")</f>
        <v/>
      </c>
      <c r="F77" s="58"/>
    </row>
    <row collapsed="false" customFormat="false" customHeight="true" hidden="false" ht="25.5" outlineLevel="0" r="78">
      <c r="A78" s="54"/>
      <c r="B78" s="55"/>
      <c r="C78" s="56"/>
      <c r="D78" s="55"/>
      <c r="E78" s="57" t="str">
        <f aca="false">IF(AND(B78&lt;&gt;"",D78&lt;&gt;""),(D78-B78)*24*60-C78,"")</f>
        <v/>
      </c>
      <c r="F78" s="58"/>
    </row>
    <row collapsed="false" customFormat="false" customHeight="true" hidden="false" ht="25.5" outlineLevel="0" r="79">
      <c r="A79" s="54"/>
      <c r="B79" s="55"/>
      <c r="C79" s="56"/>
      <c r="D79" s="55"/>
      <c r="E79" s="57" t="str">
        <f aca="false">IF(AND(B79&lt;&gt;"",D79&lt;&gt;""),(D79-B79)*24*60-C79,"")</f>
        <v/>
      </c>
      <c r="F79" s="58"/>
    </row>
    <row collapsed="false" customFormat="false" customHeight="true" hidden="false" ht="25.5" outlineLevel="0" r="80">
      <c r="A80" s="54"/>
      <c r="B80" s="55"/>
      <c r="C80" s="56"/>
      <c r="D80" s="55"/>
      <c r="E80" s="57" t="str">
        <f aca="false">IF(AND(B80&lt;&gt;"",D80&lt;&gt;""),(D80-B80)*24*60-C80,"")</f>
        <v/>
      </c>
      <c r="F80" s="58"/>
    </row>
    <row collapsed="false" customFormat="false" customHeight="true" hidden="false" ht="25.5" outlineLevel="0" r="81">
      <c r="A81" s="54"/>
      <c r="B81" s="55"/>
      <c r="C81" s="56"/>
      <c r="D81" s="55"/>
      <c r="E81" s="57" t="str">
        <f aca="false">IF(AND(B81&lt;&gt;"",D81&lt;&gt;""),(D81-B81)*24*60-C81,"")</f>
        <v/>
      </c>
      <c r="F81" s="58"/>
    </row>
    <row collapsed="false" customFormat="false" customHeight="true" hidden="false" ht="25.5" outlineLevel="0" r="82">
      <c r="A82" s="54"/>
      <c r="B82" s="55"/>
      <c r="C82" s="56"/>
      <c r="D82" s="55"/>
      <c r="E82" s="57" t="str">
        <f aca="false">IF(AND(B82&lt;&gt;"",D82&lt;&gt;""),(D82-B82)*24*60-C82,"")</f>
        <v/>
      </c>
      <c r="F82" s="58"/>
    </row>
    <row collapsed="false" customFormat="false" customHeight="true" hidden="false" ht="25.5" outlineLevel="0" r="83">
      <c r="A83" s="54"/>
      <c r="B83" s="55"/>
      <c r="C83" s="56"/>
      <c r="D83" s="55"/>
      <c r="E83" s="57" t="str">
        <f aca="false">IF(AND(B83&lt;&gt;"",D83&lt;&gt;""),(D83-B83)*24*60-C83,"")</f>
        <v/>
      </c>
      <c r="F83" s="58"/>
    </row>
    <row collapsed="false" customFormat="false" customHeight="true" hidden="false" ht="25.5" outlineLevel="0" r="84">
      <c r="A84" s="54"/>
      <c r="B84" s="55"/>
      <c r="C84" s="56"/>
      <c r="D84" s="55"/>
      <c r="E84" s="57" t="str">
        <f aca="false">IF(AND(B84&lt;&gt;"",D84&lt;&gt;""),(D84-B84)*24*60-C84,"")</f>
        <v/>
      </c>
      <c r="F84" s="58"/>
    </row>
    <row collapsed="false" customFormat="false" customHeight="true" hidden="false" ht="25.5" outlineLevel="0" r="85">
      <c r="A85" s="54"/>
      <c r="B85" s="55"/>
      <c r="C85" s="56"/>
      <c r="D85" s="55"/>
      <c r="E85" s="57" t="str">
        <f aca="false">IF(AND(B85&lt;&gt;"",D85&lt;&gt;""),(D85-B85)*24*60-C85,"")</f>
        <v/>
      </c>
      <c r="F85" s="58"/>
    </row>
    <row collapsed="false" customFormat="false" customHeight="true" hidden="false" ht="25.5" outlineLevel="0" r="86">
      <c r="A86" s="54"/>
      <c r="B86" s="55"/>
      <c r="C86" s="56"/>
      <c r="D86" s="55"/>
      <c r="E86" s="57" t="str">
        <f aca="false">IF(AND(B86&lt;&gt;"",D86&lt;&gt;""),(D86-B86)*24*60-C86,"")</f>
        <v/>
      </c>
      <c r="F86" s="58"/>
    </row>
    <row collapsed="false" customFormat="false" customHeight="true" hidden="false" ht="25.5" outlineLevel="0" r="87">
      <c r="A87" s="54"/>
      <c r="B87" s="55"/>
      <c r="C87" s="56"/>
      <c r="D87" s="55"/>
      <c r="E87" s="57" t="str">
        <f aca="false">IF(AND(B87&lt;&gt;"",D87&lt;&gt;""),(D87-B87)*24*60-C87,"")</f>
        <v/>
      </c>
      <c r="F87" s="58"/>
    </row>
    <row collapsed="false" customFormat="false" customHeight="true" hidden="false" ht="25.5" outlineLevel="0" r="88">
      <c r="A88" s="54"/>
      <c r="B88" s="55"/>
      <c r="C88" s="56"/>
      <c r="D88" s="55"/>
      <c r="E88" s="57" t="str">
        <f aca="false">IF(AND(B88&lt;&gt;"",D88&lt;&gt;""),(D88-B88)*24*60-C88,"")</f>
        <v/>
      </c>
      <c r="F88" s="58"/>
    </row>
    <row collapsed="false" customFormat="false" customHeight="true" hidden="false" ht="25.5" outlineLevel="0" r="89">
      <c r="A89" s="54"/>
      <c r="B89" s="55"/>
      <c r="C89" s="56"/>
      <c r="D89" s="55"/>
      <c r="E89" s="57" t="str">
        <f aca="false">IF(AND(B89&lt;&gt;"",D89&lt;&gt;""),(D89-B89)*24*60-C89,"")</f>
        <v/>
      </c>
      <c r="F89" s="58"/>
    </row>
    <row collapsed="false" customFormat="false" customHeight="true" hidden="false" ht="25.5" outlineLevel="0" r="90">
      <c r="A90" s="54"/>
      <c r="B90" s="55"/>
      <c r="C90" s="56"/>
      <c r="D90" s="55"/>
      <c r="E90" s="57" t="str">
        <f aca="false">IF(AND(B90&lt;&gt;"",D90&lt;&gt;""),(D90-B90)*24*60-C90,"")</f>
        <v/>
      </c>
      <c r="F90" s="58"/>
    </row>
    <row collapsed="false" customFormat="false" customHeight="true" hidden="false" ht="25.5" outlineLevel="0" r="91">
      <c r="A91" s="54"/>
      <c r="B91" s="55"/>
      <c r="C91" s="56"/>
      <c r="D91" s="55"/>
      <c r="E91" s="57" t="str">
        <f aca="false">IF(AND(B91&lt;&gt;"",D91&lt;&gt;""),(D91-B91)*24*60-C91,"")</f>
        <v/>
      </c>
      <c r="F91" s="58"/>
    </row>
    <row collapsed="false" customFormat="false" customHeight="true" hidden="false" ht="25.5" outlineLevel="0" r="92">
      <c r="A92" s="54"/>
      <c r="B92" s="55"/>
      <c r="C92" s="56"/>
      <c r="D92" s="55"/>
      <c r="E92" s="57" t="str">
        <f aca="false">IF(AND(B92&lt;&gt;"",D92&lt;&gt;""),(D92-B92)*24*60-C92,"")</f>
        <v/>
      </c>
      <c r="F92" s="58"/>
    </row>
    <row collapsed="false" customFormat="false" customHeight="true" hidden="false" ht="25.5" outlineLevel="0" r="93">
      <c r="A93" s="54"/>
      <c r="B93" s="55"/>
      <c r="C93" s="56"/>
      <c r="D93" s="55"/>
      <c r="E93" s="57" t="str">
        <f aca="false">IF(AND(B93&lt;&gt;"",D93&lt;&gt;""),(D93-B93)*24*60-C93,"")</f>
        <v/>
      </c>
      <c r="F93" s="58"/>
    </row>
    <row collapsed="false" customFormat="false" customHeight="true" hidden="false" ht="25.5" outlineLevel="0" r="94">
      <c r="A94" s="54"/>
      <c r="B94" s="55"/>
      <c r="C94" s="56"/>
      <c r="D94" s="55"/>
      <c r="E94" s="57" t="str">
        <f aca="false">IF(AND(B94&lt;&gt;"",D94&lt;&gt;""),(D94-B94)*24*60-C94,"")</f>
        <v/>
      </c>
      <c r="F94" s="58"/>
    </row>
    <row collapsed="false" customFormat="false" customHeight="true" hidden="false" ht="25.5" outlineLevel="0" r="95">
      <c r="A95" s="54"/>
      <c r="B95" s="55"/>
      <c r="C95" s="56"/>
      <c r="D95" s="55"/>
      <c r="E95" s="57" t="str">
        <f aca="false">IF(AND(B95&lt;&gt;"",D95&lt;&gt;""),(D95-B95)*24*60-C95,"")</f>
        <v/>
      </c>
      <c r="F95" s="58"/>
    </row>
    <row collapsed="false" customFormat="false" customHeight="true" hidden="false" ht="25.5" outlineLevel="0" r="96">
      <c r="A96" s="54"/>
      <c r="B96" s="55"/>
      <c r="C96" s="56"/>
      <c r="D96" s="55"/>
      <c r="E96" s="57" t="str">
        <f aca="false">IF(AND(B96&lt;&gt;"",D96&lt;&gt;""),(D96-B96)*24*60-C96,"")</f>
        <v/>
      </c>
      <c r="F96" s="58"/>
    </row>
    <row collapsed="false" customFormat="false" customHeight="true" hidden="false" ht="25.5" outlineLevel="0" r="97">
      <c r="A97" s="54"/>
      <c r="B97" s="55"/>
      <c r="C97" s="56"/>
      <c r="D97" s="55"/>
      <c r="E97" s="57" t="str">
        <f aca="false">IF(AND(B97&lt;&gt;"",D97&lt;&gt;""),(D97-B97)*24*60-C97,"")</f>
        <v/>
      </c>
      <c r="F97" s="58"/>
    </row>
    <row collapsed="false" customFormat="false" customHeight="true" hidden="false" ht="25.5" outlineLevel="0" r="98">
      <c r="A98" s="54"/>
      <c r="B98" s="55"/>
      <c r="C98" s="56"/>
      <c r="D98" s="55"/>
      <c r="E98" s="57" t="str">
        <f aca="false">IF(AND(B98&lt;&gt;"",D98&lt;&gt;""),(D98-B98)*24*60-C98,"")</f>
        <v/>
      </c>
      <c r="F98" s="58"/>
    </row>
    <row collapsed="false" customFormat="false" customHeight="true" hidden="false" ht="25.5" outlineLevel="0" r="99">
      <c r="A99" s="54"/>
      <c r="B99" s="55"/>
      <c r="C99" s="56"/>
      <c r="D99" s="55"/>
      <c r="E99" s="57" t="str">
        <f aca="false">IF(AND(B99&lt;&gt;"",D99&lt;&gt;""),(D99-B99)*24*60-C99,"")</f>
        <v/>
      </c>
      <c r="F99" s="58"/>
    </row>
  </sheetData>
  <dataValidations count="2">
    <dataValidation allowBlank="true" operator="between" showDropDown="true" showErrorMessage="true" showInputMessage="true" sqref="A2:A99" type="list">
      <formula1>"PLAN,DLD,CODE,UT,PM"</formula1>
      <formula2>0</formula2>
    </dataValidation>
    <dataValidation allowBlank="true" operator="greaterThanOrEqual" showDropDown="true" showErrorMessage="true" showInputMessage="true" sqref="E2:E99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7.37254901960784"/>
    <col collapsed="false" hidden="false" max="2" min="2" style="0" width="16.921568627451"/>
    <col collapsed="false" hidden="false" max="3" min="3" style="0" width="17.3529411764706"/>
    <col collapsed="false" hidden="false" max="4" min="4" style="0" width="13.5960784313726"/>
    <col collapsed="false" hidden="false" max="5" min="5" style="0" width="13.3098039215686"/>
    <col collapsed="false" hidden="false" max="6" min="6" style="0" width="8.57647058823529"/>
    <col collapsed="false" hidden="false" max="7" min="7" style="0" width="66.6823529411765"/>
    <col collapsed="false" hidden="false" max="1025" min="8" style="0" width="8.57647058823529"/>
  </cols>
  <sheetData>
    <row collapsed="false" customFormat="false" customHeight="false" hidden="false" ht="23.85" outlineLevel="0" r="1">
      <c r="A1" s="53" t="s">
        <v>34</v>
      </c>
      <c r="B1" s="53" t="s">
        <v>35</v>
      </c>
      <c r="C1" s="53" t="s">
        <v>36</v>
      </c>
      <c r="D1" s="53" t="s">
        <v>37</v>
      </c>
      <c r="E1" s="53" t="s">
        <v>38</v>
      </c>
      <c r="F1" s="53" t="s">
        <v>39</v>
      </c>
      <c r="G1" s="53" t="s">
        <v>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24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27.4862745098039"/>
    <col collapsed="false" hidden="false" max="2" min="2" style="0" width="8.57647058823529"/>
    <col collapsed="false" hidden="false" max="3" min="3" style="0" width="10.9843137254902"/>
    <col collapsed="false" hidden="false" max="4" min="4" style="0" width="11.4235294117647"/>
    <col collapsed="false" hidden="false" max="5" min="5" style="0" width="12.1490196078431"/>
    <col collapsed="false" hidden="false" max="6" min="6" style="0" width="10.9843137254902"/>
    <col collapsed="false" hidden="false" max="7" min="7" style="0" width="2.45098039215686"/>
    <col collapsed="false" hidden="false" max="8" min="8" style="0" width="24.5803921568627"/>
    <col collapsed="false" hidden="false" max="9" min="9" style="0" width="11.1372549019608"/>
    <col collapsed="false" hidden="false" max="10" min="10" style="0" width="18.3725490196078"/>
    <col collapsed="false" hidden="false" max="11" min="11" style="0" width="14.7490196078431"/>
    <col collapsed="false" hidden="false" max="12" min="12" style="0" width="12.721568627451"/>
    <col collapsed="false" hidden="false" max="1025" min="13" style="0" width="8.57647058823529"/>
  </cols>
  <sheetData>
    <row collapsed="false" customFormat="false" customHeight="false" hidden="false" ht="15.2" outlineLevel="0" r="1">
      <c r="A1" s="59" t="s">
        <v>41</v>
      </c>
      <c r="B1" s="59"/>
      <c r="C1" s="59"/>
      <c r="D1" s="59"/>
      <c r="E1" s="59"/>
      <c r="F1" s="59"/>
      <c r="G1" s="60"/>
      <c r="H1" s="59" t="s">
        <v>42</v>
      </c>
      <c r="I1" s="59"/>
      <c r="J1" s="59"/>
      <c r="K1" s="59"/>
      <c r="L1" s="59"/>
    </row>
    <row collapsed="false" customFormat="false" customHeight="false" hidden="false" ht="35.05" outlineLevel="0" r="2">
      <c r="A2" s="61" t="s">
        <v>43</v>
      </c>
      <c r="B2" s="61" t="s">
        <v>44</v>
      </c>
      <c r="C2" s="61" t="s">
        <v>45</v>
      </c>
      <c r="D2" s="61" t="s">
        <v>46</v>
      </c>
      <c r="E2" s="61" t="s">
        <v>47</v>
      </c>
      <c r="F2" s="61" t="s">
        <v>48</v>
      </c>
      <c r="G2" s="4"/>
      <c r="H2" s="61" t="s">
        <v>49</v>
      </c>
      <c r="I2" s="61" t="s">
        <v>50</v>
      </c>
      <c r="J2" s="61" t="s">
        <v>51</v>
      </c>
      <c r="K2" s="61" t="s">
        <v>52</v>
      </c>
      <c r="L2" s="61" t="s">
        <v>53</v>
      </c>
    </row>
    <row collapsed="false" customFormat="false" customHeight="false" hidden="false" ht="14" outlineLevel="0" r="3">
      <c r="A3" s="62" t="s">
        <v>54</v>
      </c>
      <c r="B3" s="63"/>
      <c r="C3" s="64"/>
      <c r="D3" s="63"/>
      <c r="E3" s="65" t="str">
        <f aca="false">IF(AND(B3&lt;&gt;"",C3&lt;&gt;"",D3&lt;&gt;""),C3*VLOOKUP(B3,RelativeSizeTable!$A$3:$G$8,2+MATCH(D3,RelativeSizeTable!$C$2:$G$2,0)),"")</f>
        <v/>
      </c>
      <c r="F3" s="64"/>
      <c r="G3" s="4"/>
      <c r="H3" s="62" t="s">
        <v>55</v>
      </c>
      <c r="I3" s="64" t="n">
        <v>4</v>
      </c>
      <c r="J3" s="66" t="n">
        <v>0</v>
      </c>
      <c r="K3" s="66" t="n">
        <v>0</v>
      </c>
      <c r="L3" s="66" t="n">
        <v>4</v>
      </c>
    </row>
    <row collapsed="false" customFormat="false" customHeight="false" hidden="false" ht="14" outlineLevel="0" r="4">
      <c r="A4" s="62" t="s">
        <v>56</v>
      </c>
      <c r="B4" s="63" t="s">
        <v>57</v>
      </c>
      <c r="C4" s="64" t="n">
        <v>1</v>
      </c>
      <c r="D4" s="63" t="s">
        <v>58</v>
      </c>
      <c r="E4" s="65" t="n">
        <f aca="false">IF(AND(B4&lt;&gt;"",C4&lt;&gt;"",D4&lt;&gt;""),C4*VLOOKUP(B4,RelativeSizeTable!$A$3:$G$8,2+MATCH(D4,RelativeSizeTable!$C$2:$G$2,0)),"")</f>
        <v>2.6</v>
      </c>
      <c r="F4" s="64"/>
      <c r="G4" s="4"/>
      <c r="H4" s="62" t="s">
        <v>59</v>
      </c>
      <c r="I4" s="64" t="n">
        <v>13</v>
      </c>
      <c r="J4" s="66" t="n">
        <v>0</v>
      </c>
      <c r="K4" s="66" t="n">
        <v>0</v>
      </c>
      <c r="L4" s="66" t="n">
        <v>13</v>
      </c>
    </row>
    <row collapsed="false" customFormat="false" customHeight="false" hidden="false" ht="14" outlineLevel="0" r="5">
      <c r="A5" s="62" t="s">
        <v>60</v>
      </c>
      <c r="B5" s="63" t="s">
        <v>61</v>
      </c>
      <c r="C5" s="64" t="n">
        <v>1</v>
      </c>
      <c r="D5" s="63" t="s">
        <v>62</v>
      </c>
      <c r="E5" s="65" t="n">
        <f aca="false">IF(AND(B5&lt;&gt;"",C5&lt;&gt;"",D5&lt;&gt;""),C5*VLOOKUP(B5,RelativeSizeTable!$A$3:$G$8,2+MATCH(D5,RelativeSizeTable!$C$2:$G$2,0)),"")</f>
        <v>24.66</v>
      </c>
      <c r="F5" s="64"/>
      <c r="G5" s="4"/>
      <c r="H5" s="62" t="s">
        <v>63</v>
      </c>
      <c r="I5" s="64" t="n">
        <v>13</v>
      </c>
      <c r="J5" s="66" t="n">
        <v>0</v>
      </c>
      <c r="K5" s="66" t="n">
        <v>0</v>
      </c>
      <c r="L5" s="66" t="n">
        <v>13</v>
      </c>
    </row>
    <row collapsed="false" customFormat="false" customHeight="false" hidden="false" ht="14" outlineLevel="0" r="6">
      <c r="A6" s="62" t="s">
        <v>64</v>
      </c>
      <c r="B6" s="63" t="s">
        <v>61</v>
      </c>
      <c r="C6" s="64" t="n">
        <v>2</v>
      </c>
      <c r="D6" s="63" t="s">
        <v>65</v>
      </c>
      <c r="E6" s="65" t="n">
        <f aca="false">IF(AND(B6&lt;&gt;"",C6&lt;&gt;"",D6&lt;&gt;""),C6*VLOOKUP(B6,RelativeSizeTable!$A$3:$G$8,2+MATCH(D6,RelativeSizeTable!$C$2:$G$2,0)),"")</f>
        <v>22.5</v>
      </c>
      <c r="F6" s="64"/>
      <c r="G6" s="4"/>
      <c r="H6" s="62" t="s">
        <v>66</v>
      </c>
      <c r="I6" s="64" t="n">
        <v>34</v>
      </c>
      <c r="J6" s="66" t="n">
        <v>0</v>
      </c>
      <c r="K6" s="66" t="n">
        <v>0</v>
      </c>
      <c r="L6" s="66" t="n">
        <v>34</v>
      </c>
    </row>
    <row collapsed="false" customFormat="false" customHeight="false" hidden="false" ht="14" outlineLevel="0" r="7">
      <c r="A7" s="62" t="s">
        <v>67</v>
      </c>
      <c r="B7" s="63"/>
      <c r="C7" s="64"/>
      <c r="D7" s="63"/>
      <c r="E7" s="65" t="str">
        <f aca="false">IF(AND(B7&lt;&gt;"",C7&lt;&gt;"",D7&lt;&gt;""),C7*VLOOKUP(B7,RelativeSizeTable!$A$3:$G$8,2+MATCH(D7,RelativeSizeTable!$C$2:$G$2,0)),"")</f>
        <v/>
      </c>
      <c r="F7" s="64"/>
      <c r="G7" s="4"/>
      <c r="H7" s="62"/>
      <c r="I7" s="64"/>
      <c r="J7" s="66"/>
      <c r="K7" s="66"/>
      <c r="L7" s="66"/>
    </row>
    <row collapsed="false" customFormat="false" customHeight="false" hidden="false" ht="14" outlineLevel="0" r="8">
      <c r="A8" s="62" t="s">
        <v>56</v>
      </c>
      <c r="B8" s="63" t="s">
        <v>57</v>
      </c>
      <c r="C8" s="64" t="n">
        <v>1</v>
      </c>
      <c r="D8" s="63" t="s">
        <v>68</v>
      </c>
      <c r="E8" s="65" t="n">
        <f aca="false">IF(AND(B8&lt;&gt;"",C8&lt;&gt;"",D8&lt;&gt;""),C8*VLOOKUP(B8,RelativeSizeTable!$A$3:$G$8,2+MATCH(D8,RelativeSizeTable!$C$2:$G$2,0)),"")</f>
        <v>4.79</v>
      </c>
      <c r="F8" s="64"/>
      <c r="G8" s="4"/>
      <c r="H8" s="62"/>
      <c r="I8" s="64"/>
      <c r="J8" s="66"/>
      <c r="K8" s="66"/>
      <c r="L8" s="66"/>
    </row>
    <row collapsed="false" customFormat="false" customHeight="false" hidden="false" ht="14" outlineLevel="0" r="9">
      <c r="A9" s="62" t="s">
        <v>69</v>
      </c>
      <c r="B9" s="63" t="s">
        <v>61</v>
      </c>
      <c r="C9" s="64" t="n">
        <v>1</v>
      </c>
      <c r="D9" s="63" t="s">
        <v>65</v>
      </c>
      <c r="E9" s="65" t="n">
        <f aca="false">IF(AND(B9&lt;&gt;"",C9&lt;&gt;"",D9&lt;&gt;""),C9*VLOOKUP(B9,RelativeSizeTable!$A$3:$G$8,2+MATCH(D9,RelativeSizeTable!$C$2:$G$2,0)),"")</f>
        <v>11.25</v>
      </c>
      <c r="F9" s="64"/>
      <c r="G9" s="4"/>
      <c r="H9" s="62"/>
      <c r="I9" s="64"/>
      <c r="J9" s="66"/>
      <c r="K9" s="66"/>
      <c r="L9" s="66"/>
    </row>
    <row collapsed="false" customFormat="false" customHeight="false" hidden="false" ht="14" outlineLevel="0" r="10">
      <c r="A10" s="62" t="s">
        <v>70</v>
      </c>
      <c r="B10" s="63" t="s">
        <v>61</v>
      </c>
      <c r="C10" s="64" t="n">
        <v>1</v>
      </c>
      <c r="D10" s="63" t="s">
        <v>65</v>
      </c>
      <c r="E10" s="65" t="n">
        <f aca="false">IF(AND(B10&lt;&gt;"",C10&lt;&gt;"",D10&lt;&gt;""),C10*VLOOKUP(B10,RelativeSizeTable!$A$3:$G$8,2+MATCH(D10,RelativeSizeTable!$C$2:$G$2,0)),"")</f>
        <v>11.25</v>
      </c>
      <c r="F10" s="64"/>
      <c r="G10" s="4"/>
      <c r="H10" s="62"/>
      <c r="I10" s="64"/>
      <c r="J10" s="66"/>
      <c r="K10" s="66"/>
      <c r="L10" s="66"/>
    </row>
    <row collapsed="false" customFormat="false" customHeight="false" hidden="false" ht="14" outlineLevel="0" r="11">
      <c r="A11" s="62" t="s">
        <v>71</v>
      </c>
      <c r="B11" s="63" t="s">
        <v>61</v>
      </c>
      <c r="C11" s="64" t="n">
        <v>1</v>
      </c>
      <c r="D11" s="63" t="s">
        <v>62</v>
      </c>
      <c r="E11" s="65" t="n">
        <f aca="false">IF(AND(B11&lt;&gt;"",C11&lt;&gt;"",D11&lt;&gt;""),C11*VLOOKUP(B11,RelativeSizeTable!$A$3:$G$8,2+MATCH(D11,RelativeSizeTable!$C$2:$G$2,0)),"")</f>
        <v>24.66</v>
      </c>
      <c r="F11" s="64"/>
      <c r="G11" s="4"/>
      <c r="H11" s="62"/>
      <c r="I11" s="64"/>
      <c r="J11" s="66"/>
      <c r="K11" s="66"/>
      <c r="L11" s="66"/>
    </row>
    <row collapsed="false" customFormat="false" customHeight="false" hidden="false" ht="14" outlineLevel="0" r="12">
      <c r="A12" s="62" t="s">
        <v>72</v>
      </c>
      <c r="B12" s="63" t="s">
        <v>61</v>
      </c>
      <c r="C12" s="64" t="n">
        <v>1</v>
      </c>
      <c r="D12" s="63" t="s">
        <v>58</v>
      </c>
      <c r="E12" s="65" t="n">
        <f aca="false">IF(AND(B12&lt;&gt;"",C12&lt;&gt;"",D12&lt;&gt;""),C12*VLOOKUP(B12,RelativeSizeTable!$A$3:$G$8,2+MATCH(D12,RelativeSizeTable!$C$2:$G$2,0)),"")</f>
        <v>2.34</v>
      </c>
      <c r="F12" s="64"/>
      <c r="G12" s="4"/>
      <c r="H12" s="62"/>
      <c r="I12" s="64"/>
      <c r="J12" s="66"/>
      <c r="K12" s="66"/>
      <c r="L12" s="66"/>
    </row>
    <row collapsed="false" customFormat="false" customHeight="false" hidden="false" ht="14" outlineLevel="0" r="13">
      <c r="A13" s="62" t="s">
        <v>73</v>
      </c>
      <c r="B13" s="63" t="s">
        <v>61</v>
      </c>
      <c r="C13" s="64" t="n">
        <v>1</v>
      </c>
      <c r="D13" s="63" t="s">
        <v>74</v>
      </c>
      <c r="E13" s="65" t="n">
        <f aca="false">IF(AND(B13&lt;&gt;"",C13&lt;&gt;"",D13&lt;&gt;""),C13*VLOOKUP(B13,RelativeSizeTable!$A$3:$G$8,2+MATCH(D13,RelativeSizeTable!$C$2:$G$2,0)),"")</f>
        <v>54.04</v>
      </c>
      <c r="F13" s="64"/>
      <c r="G13" s="4"/>
      <c r="H13" s="62"/>
      <c r="I13" s="64"/>
      <c r="J13" s="66"/>
      <c r="K13" s="66"/>
      <c r="L13" s="66"/>
    </row>
    <row collapsed="false" customFormat="false" customHeight="false" hidden="false" ht="14" outlineLevel="0" r="14">
      <c r="A14" s="62" t="s">
        <v>75</v>
      </c>
      <c r="B14" s="63"/>
      <c r="C14" s="64"/>
      <c r="D14" s="63"/>
      <c r="E14" s="65" t="str">
        <f aca="false">IF(AND(B14&lt;&gt;"",C14&lt;&gt;"",D14&lt;&gt;""),C14*VLOOKUP(B14,RelativeSizeTable!$A$3:$G$8,2+MATCH(D14,RelativeSizeTable!$C$2:$G$2,0)),"")</f>
        <v/>
      </c>
      <c r="F14" s="64"/>
      <c r="G14" s="4"/>
      <c r="H14" s="62"/>
      <c r="I14" s="64"/>
      <c r="J14" s="66"/>
      <c r="K14" s="66"/>
      <c r="L14" s="66"/>
    </row>
    <row collapsed="false" customFormat="false" customHeight="false" hidden="false" ht="14" outlineLevel="0" r="15">
      <c r="A15" s="62" t="s">
        <v>76</v>
      </c>
      <c r="B15" s="63" t="s">
        <v>77</v>
      </c>
      <c r="C15" s="64" t="n">
        <v>1</v>
      </c>
      <c r="D15" s="63" t="s">
        <v>62</v>
      </c>
      <c r="E15" s="65" t="n">
        <f aca="false">IF(AND(B15&lt;&gt;"",C15&lt;&gt;"",D15&lt;&gt;""),C15*VLOOKUP(B15,RelativeSizeTable!$A$3:$G$8,2+MATCH(D15,RelativeSizeTable!$C$2:$G$2,0)),"")</f>
        <v>21.62</v>
      </c>
      <c r="F15" s="64"/>
      <c r="G15" s="4"/>
      <c r="H15" s="62"/>
      <c r="I15" s="64"/>
      <c r="J15" s="66"/>
      <c r="K15" s="66"/>
      <c r="L15" s="66"/>
    </row>
    <row collapsed="false" customFormat="false" customHeight="false" hidden="false" ht="14" outlineLevel="0" r="16">
      <c r="A16" s="62" t="s">
        <v>78</v>
      </c>
      <c r="B16" s="63" t="s">
        <v>77</v>
      </c>
      <c r="C16" s="64" t="n">
        <v>1</v>
      </c>
      <c r="D16" s="63" t="s">
        <v>74</v>
      </c>
      <c r="E16" s="65" t="n">
        <f aca="false">IF(AND(B16&lt;&gt;"",C16&lt;&gt;"",D16&lt;&gt;""),C16*VLOOKUP(B16,RelativeSizeTable!$A$3:$G$8,2+MATCH(D16,RelativeSizeTable!$C$2:$G$2,0)),"")</f>
        <v>28.93</v>
      </c>
      <c r="F16" s="64"/>
      <c r="G16" s="4"/>
      <c r="H16" s="62"/>
      <c r="I16" s="64"/>
      <c r="J16" s="66"/>
      <c r="K16" s="66"/>
      <c r="L16" s="66"/>
    </row>
    <row collapsed="false" customFormat="false" customHeight="false" hidden="false" ht="14" outlineLevel="0" r="17">
      <c r="A17" s="62"/>
      <c r="B17" s="63"/>
      <c r="C17" s="64"/>
      <c r="D17" s="63"/>
      <c r="E17" s="65" t="str">
        <f aca="false">IF(AND(B17&lt;&gt;"",C17&lt;&gt;"",D17&lt;&gt;""),C17*VLOOKUP(B17,RelativeSizeTable!$A$3:$G$8,2+MATCH(D17,RelativeSizeTable!$C$2:$G$2,0)),"")</f>
        <v/>
      </c>
      <c r="F17" s="64"/>
      <c r="G17" s="4"/>
      <c r="H17" s="62"/>
      <c r="I17" s="64"/>
      <c r="J17" s="66"/>
      <c r="K17" s="66"/>
      <c r="L17" s="66"/>
    </row>
    <row collapsed="false" customFormat="false" customHeight="false" hidden="false" ht="14" outlineLevel="0" r="18">
      <c r="A18" s="62"/>
      <c r="B18" s="63"/>
      <c r="C18" s="64"/>
      <c r="D18" s="63"/>
      <c r="E18" s="65" t="str">
        <f aca="false">IF(AND(B18&lt;&gt;"",C18&lt;&gt;"",D18&lt;&gt;""),C18*VLOOKUP(B18,RelativeSizeTable!$A$3:$G$8,2+MATCH(D18,RelativeSizeTable!$C$2:$G$2,0)),"")</f>
        <v/>
      </c>
      <c r="F18" s="64"/>
      <c r="G18" s="4"/>
      <c r="H18" s="62"/>
      <c r="I18" s="64"/>
      <c r="J18" s="66"/>
      <c r="K18" s="66"/>
      <c r="L18" s="66"/>
    </row>
    <row collapsed="false" customFormat="false" customHeight="false" hidden="false" ht="14" outlineLevel="0" r="19">
      <c r="A19" s="62"/>
      <c r="B19" s="63"/>
      <c r="C19" s="64"/>
      <c r="D19" s="63"/>
      <c r="E19" s="65" t="str">
        <f aca="false">IF(AND(B19&lt;&gt;"",C19&lt;&gt;"",D19&lt;&gt;""),C19*VLOOKUP(B19,RelativeSizeTable!$A$3:$G$8,2+MATCH(D19,RelativeSizeTable!$C$2:$G$2,0)),"")</f>
        <v/>
      </c>
      <c r="F19" s="64"/>
      <c r="G19" s="4"/>
      <c r="H19" s="62"/>
      <c r="I19" s="64"/>
      <c r="J19" s="66"/>
      <c r="K19" s="66"/>
      <c r="L19" s="66"/>
    </row>
    <row collapsed="false" customFormat="false" customHeight="false" hidden="false" ht="14" outlineLevel="0" r="20">
      <c r="A20" s="62"/>
      <c r="B20" s="63"/>
      <c r="C20" s="64"/>
      <c r="D20" s="63"/>
      <c r="E20" s="65" t="str">
        <f aca="false">IF(AND(B20&lt;&gt;"",C20&lt;&gt;"",D20&lt;&gt;""),C20*VLOOKUP(B20,RelativeSizeTable!$A$3:$G$8,2+MATCH(D20,RelativeSizeTable!$C$2:$G$2,0)),"")</f>
        <v/>
      </c>
      <c r="F20" s="64"/>
      <c r="G20" s="4"/>
      <c r="H20" s="62"/>
      <c r="I20" s="64"/>
      <c r="J20" s="66"/>
      <c r="K20" s="66"/>
      <c r="L20" s="66"/>
    </row>
    <row collapsed="false" customFormat="false" customHeight="false" hidden="false" ht="14" outlineLevel="0" r="21">
      <c r="A21" s="62"/>
      <c r="B21" s="63"/>
      <c r="C21" s="64"/>
      <c r="D21" s="63"/>
      <c r="E21" s="65" t="str">
        <f aca="false">IF(AND(B21&lt;&gt;"",C21&lt;&gt;"",D21&lt;&gt;""),C21*VLOOKUP(B21,RelativeSizeTable!$A$3:$G$8,2+MATCH(D21,RelativeSizeTable!$C$2:$G$2,0)),"")</f>
        <v/>
      </c>
      <c r="F21" s="64"/>
      <c r="G21" s="4"/>
      <c r="H21" s="62"/>
      <c r="I21" s="64"/>
      <c r="J21" s="66"/>
      <c r="K21" s="66"/>
      <c r="L21" s="66"/>
    </row>
    <row collapsed="false" customFormat="false" customHeight="false" hidden="false" ht="14" outlineLevel="0" r="22">
      <c r="A22" s="62"/>
      <c r="B22" s="63"/>
      <c r="C22" s="64"/>
      <c r="D22" s="63"/>
      <c r="E22" s="65" t="str">
        <f aca="false">IF(AND(B22&lt;&gt;"",C22&lt;&gt;"",D22&lt;&gt;""),C22*VLOOKUP(B22,RelativeSizeTable!$A$3:$G$8,2+MATCH(D22,RelativeSizeTable!$C$2:$G$2,0)),"")</f>
        <v/>
      </c>
      <c r="F22" s="64"/>
      <c r="G22" s="4"/>
      <c r="H22" s="62"/>
      <c r="I22" s="64"/>
      <c r="J22" s="66"/>
      <c r="K22" s="66"/>
      <c r="L22" s="66"/>
    </row>
    <row collapsed="false" customFormat="false" customHeight="false" hidden="false" ht="14" outlineLevel="0" r="23">
      <c r="A23" s="62"/>
      <c r="B23" s="63"/>
      <c r="C23" s="64"/>
      <c r="D23" s="63"/>
      <c r="E23" s="65" t="str">
        <f aca="false">IF(AND(B23&lt;&gt;"",C23&lt;&gt;"",D23&lt;&gt;""),C23*VLOOKUP(B23,RelativeSizeTable!$A$3:$G$8,2+MATCH(D23,RelativeSizeTable!$C$2:$G$2,0)),"")</f>
        <v/>
      </c>
      <c r="F23" s="64"/>
      <c r="G23" s="4"/>
      <c r="H23" s="62"/>
      <c r="I23" s="64"/>
      <c r="J23" s="66"/>
      <c r="K23" s="66"/>
      <c r="L23" s="66"/>
    </row>
    <row collapsed="false" customFormat="false" customHeight="false" hidden="false" ht="14" outlineLevel="0" r="24">
      <c r="A24" s="67" t="s">
        <v>27</v>
      </c>
      <c r="B24" s="67"/>
      <c r="C24" s="67"/>
      <c r="D24" s="67"/>
      <c r="E24" s="68" t="n">
        <f aca="false">SUM(E3:E23)</f>
        <v>208.64</v>
      </c>
      <c r="F24" s="68" t="n">
        <f aca="false">SUM(F3:F23)</f>
        <v>0</v>
      </c>
      <c r="G24" s="4"/>
      <c r="H24" s="69" t="s">
        <v>27</v>
      </c>
      <c r="I24" s="69"/>
      <c r="J24" s="70" t="n">
        <f aca="false">SUM(J3:J23)</f>
        <v>0</v>
      </c>
      <c r="K24" s="70" t="n">
        <f aca="false">SUM(K3:K23)</f>
        <v>0</v>
      </c>
      <c r="L24" s="70" t="n">
        <f aca="false">SUM(L3:L23)</f>
        <v>64</v>
      </c>
    </row>
  </sheetData>
  <mergeCells count="4">
    <mergeCell ref="A1:F1"/>
    <mergeCell ref="H1:L1"/>
    <mergeCell ref="A24:D24"/>
    <mergeCell ref="H24:I24"/>
  </mergeCells>
  <dataValidations count="4">
    <dataValidation allowBlank="true" operator="greaterThanOrEqual" showDropDown="true" showErrorMessage="true" showInputMessage="true" sqref="I3:L23" type="whole">
      <formula1>0</formula1>
      <formula2>0</formula2>
    </dataValidation>
    <dataValidation allowBlank="true" operator="greaterThan" showDropDown="true" showErrorMessage="true" showInputMessage="true" sqref="C3:C23 F3:F23" type="whole">
      <formula1>0</formula1>
      <formula2>0</formula2>
    </dataValidation>
    <dataValidation allowBlank="true" operator="between" showDropDown="true" showErrorMessage="true" showInputMessage="true" sqref="D3:D23" type="list">
      <formula1>"XS,S,M,L,XL"</formula1>
      <formula2>0</formula2>
    </dataValidation>
    <dataValidation allowBlank="true" operator="between" showDropDown="true" showErrorMessage="true" showInputMessage="true" sqref="B3:B23" type="list">
      <formula1>"Calc,Data,IO,Logic,Set-up,Text"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60">
      <selection activeCell="A1" activeCellId="0" pane="topLeft" sqref="A1"/>
    </sheetView>
  </sheetViews>
  <cols>
    <col collapsed="false" hidden="false" max="1" min="1" style="0" width="16.7803921568627"/>
    <col collapsed="false" hidden="false" max="2" min="2" style="0" width="34.8588235294118"/>
    <col collapsed="false" hidden="false" max="7" min="3" style="0" width="10.1254901960784"/>
    <col collapsed="false" hidden="false" max="1025" min="8" style="0" width="8.57647058823529"/>
  </cols>
  <sheetData>
    <row collapsed="false" customFormat="false" customHeight="true" hidden="false" ht="15" outlineLevel="0" r="1">
      <c r="A1" s="61" t="s">
        <v>79</v>
      </c>
      <c r="B1" s="61" t="s">
        <v>40</v>
      </c>
      <c r="C1" s="61" t="s">
        <v>80</v>
      </c>
      <c r="D1" s="61"/>
      <c r="E1" s="61"/>
      <c r="F1" s="61"/>
      <c r="G1" s="61"/>
    </row>
    <row collapsed="false" customFormat="false" customHeight="false" hidden="false" ht="14" outlineLevel="0" r="2">
      <c r="A2" s="61"/>
      <c r="B2" s="61"/>
      <c r="C2" s="61" t="s">
        <v>58</v>
      </c>
      <c r="D2" s="61" t="s">
        <v>68</v>
      </c>
      <c r="E2" s="61" t="s">
        <v>65</v>
      </c>
      <c r="F2" s="61" t="s">
        <v>62</v>
      </c>
      <c r="G2" s="61" t="s">
        <v>74</v>
      </c>
    </row>
    <row collapsed="false" customFormat="false" customHeight="false" hidden="false" ht="14.9" outlineLevel="0" r="3">
      <c r="A3" s="71" t="s">
        <v>61</v>
      </c>
      <c r="B3" s="71" t="s">
        <v>81</v>
      </c>
      <c r="C3" s="72" t="n">
        <v>2.34</v>
      </c>
      <c r="D3" s="72" t="n">
        <v>5.13</v>
      </c>
      <c r="E3" s="72" t="n">
        <v>11.25</v>
      </c>
      <c r="F3" s="72" t="n">
        <v>24.66</v>
      </c>
      <c r="G3" s="72" t="n">
        <v>54.04</v>
      </c>
    </row>
    <row collapsed="false" customFormat="false" customHeight="false" hidden="false" ht="14.9" outlineLevel="0" r="4">
      <c r="A4" s="71" t="s">
        <v>57</v>
      </c>
      <c r="B4" s="71" t="s">
        <v>82</v>
      </c>
      <c r="C4" s="72" t="n">
        <v>2.6</v>
      </c>
      <c r="D4" s="72" t="n">
        <v>4.79</v>
      </c>
      <c r="E4" s="72" t="n">
        <v>8.84</v>
      </c>
      <c r="F4" s="72" t="n">
        <v>16.31</v>
      </c>
      <c r="G4" s="72" t="n">
        <v>30.09</v>
      </c>
    </row>
    <row collapsed="false" customFormat="false" customHeight="false" hidden="false" ht="14.9" outlineLevel="0" r="5">
      <c r="A5" s="71" t="s">
        <v>77</v>
      </c>
      <c r="B5" s="71" t="s">
        <v>83</v>
      </c>
      <c r="C5" s="72" t="n">
        <v>9.01</v>
      </c>
      <c r="D5" s="72" t="n">
        <v>12.06</v>
      </c>
      <c r="E5" s="72" t="n">
        <v>16.15</v>
      </c>
      <c r="F5" s="72" t="n">
        <v>21.62</v>
      </c>
      <c r="G5" s="72" t="n">
        <v>28.93</v>
      </c>
    </row>
    <row collapsed="false" customFormat="false" customHeight="false" hidden="false" ht="14.9" outlineLevel="0" r="6">
      <c r="A6" s="71" t="s">
        <v>84</v>
      </c>
      <c r="B6" s="71" t="s">
        <v>85</v>
      </c>
      <c r="C6" s="72" t="n">
        <v>7.55</v>
      </c>
      <c r="D6" s="72" t="n">
        <v>10.98</v>
      </c>
      <c r="E6" s="72" t="n">
        <v>15.98</v>
      </c>
      <c r="F6" s="72" t="n">
        <v>23.25</v>
      </c>
      <c r="G6" s="72" t="n">
        <v>33.83</v>
      </c>
    </row>
    <row collapsed="false" customFormat="false" customHeight="false" hidden="false" ht="14.9" outlineLevel="0" r="7">
      <c r="A7" s="71" t="s">
        <v>86</v>
      </c>
      <c r="B7" s="71" t="s">
        <v>87</v>
      </c>
      <c r="C7" s="72" t="n">
        <v>3.88</v>
      </c>
      <c r="D7" s="72" t="n">
        <v>5.04</v>
      </c>
      <c r="E7" s="72" t="n">
        <v>6.56</v>
      </c>
      <c r="F7" s="72" t="n">
        <v>8.53</v>
      </c>
      <c r="G7" s="72" t="n">
        <v>11.09</v>
      </c>
    </row>
    <row collapsed="false" customFormat="false" customHeight="false" hidden="false" ht="14.9" outlineLevel="0" r="8">
      <c r="A8" s="71" t="s">
        <v>88</v>
      </c>
      <c r="B8" s="71" t="s">
        <v>89</v>
      </c>
      <c r="C8" s="72" t="n">
        <v>3.75</v>
      </c>
      <c r="D8" s="72" t="n">
        <v>8</v>
      </c>
      <c r="E8" s="72" t="n">
        <v>17.07</v>
      </c>
      <c r="F8" s="72" t="n">
        <v>36.41</v>
      </c>
      <c r="G8" s="72" t="n">
        <v>77.66</v>
      </c>
    </row>
  </sheetData>
  <mergeCells count="3">
    <mergeCell ref="A1:A2"/>
    <mergeCell ref="B1:B2"/>
    <mergeCell ref="C1:G1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9" scale="100" useFirstPageNumber="false" usePrinterDefaults="false" verticalDpi="300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OpenOffice.org/3.2$Linux OpenOffice.org_project/320m19$Build-9505</Application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revision>0</cp:revision>
</cp:coreProperties>
</file>